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gar\Escritorio\ProyectoFinal\Proyecto_final-Evaluador_de_expresiones\docs\métricas\"/>
    </mc:Choice>
  </mc:AlternateContent>
  <xr:revisionPtr revIDLastSave="0" documentId="13_ncr:1_{8E7BC0A7-408E-40EE-BB21-0A737FF4D65C}" xr6:coauthVersionLast="47" xr6:coauthVersionMax="47" xr10:uidLastSave="{00000000-0000-0000-0000-000000000000}"/>
  <bookViews>
    <workbookView xWindow="-108" yWindow="-108" windowWidth="23256" windowHeight="12456" tabRatio="750" activeTab="1" xr2:uid="{C1997AC8-5B39-4BCD-9989-DDD67DFA5BCF}"/>
  </bookViews>
  <sheets>
    <sheet name="Portada" sheetId="4" r:id="rId1"/>
    <sheet name="Control de las interrupcione" sheetId="1" r:id="rId2"/>
    <sheet name="Resumen Semana 1" sheetId="2" r:id="rId3"/>
    <sheet name="Resumen Semana 2" sheetId="5" r:id="rId4"/>
    <sheet name="Resumen Semana 3" sheetId="6" r:id="rId5"/>
    <sheet name="Resumen Semana 4" sheetId="7" r:id="rId6"/>
    <sheet name="Resumen Semana 5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3" i="8" l="1"/>
  <c r="I22" i="8"/>
  <c r="E23" i="8"/>
  <c r="E22" i="8"/>
  <c r="I11" i="8"/>
  <c r="E11" i="8"/>
  <c r="I6" i="8"/>
  <c r="I11" i="7"/>
  <c r="I22" i="7" s="1"/>
  <c r="I23" i="7" s="1"/>
  <c r="E23" i="7"/>
  <c r="D23" i="7"/>
  <c r="D22" i="7"/>
  <c r="E11" i="7"/>
  <c r="I23" i="6"/>
  <c r="I22" i="6"/>
  <c r="I11" i="6"/>
  <c r="D11" i="6"/>
  <c r="D23" i="6"/>
  <c r="D22" i="6"/>
</calcChain>
</file>

<file path=xl/sharedStrings.xml><?xml version="1.0" encoding="utf-8"?>
<sst xmlns="http://schemas.openxmlformats.org/spreadsheetml/2006/main" count="210" uniqueCount="64">
  <si>
    <t>Estudiante: Edgar Raymundo González Torres</t>
  </si>
  <si>
    <t>Profesor: Edgar Gonzalo Cossio Franco</t>
  </si>
  <si>
    <t>Clase: Ingeniería de Software</t>
  </si>
  <si>
    <t>Fecha</t>
  </si>
  <si>
    <t>Comienzo</t>
  </si>
  <si>
    <t xml:space="preserve">Fin </t>
  </si>
  <si>
    <t>Tiempo de Interrupcion</t>
  </si>
  <si>
    <t>Actividad</t>
  </si>
  <si>
    <t>Comentarios</t>
  </si>
  <si>
    <t>C</t>
  </si>
  <si>
    <t>U</t>
  </si>
  <si>
    <t>Repositorio</t>
  </si>
  <si>
    <t>D</t>
  </si>
  <si>
    <t>L</t>
  </si>
  <si>
    <t>M</t>
  </si>
  <si>
    <t>J</t>
  </si>
  <si>
    <t>V</t>
  </si>
  <si>
    <t>S</t>
  </si>
  <si>
    <t>Totales</t>
  </si>
  <si>
    <t>Total</t>
  </si>
  <si>
    <t>Tiempo y Medidas del Periodo</t>
  </si>
  <si>
    <t>Resumen de las semanas anteriores</t>
  </si>
  <si>
    <t>Med.</t>
  </si>
  <si>
    <t>Max.</t>
  </si>
  <si>
    <t>Min.</t>
  </si>
  <si>
    <t>Resumen incluyendo la ultima semana</t>
  </si>
  <si>
    <t>Nombre: Edgar Raymundo González Torres</t>
  </si>
  <si>
    <t xml:space="preserve">Fecha: </t>
  </si>
  <si>
    <t>PSP</t>
  </si>
  <si>
    <t>PSP, resolver dudas</t>
  </si>
  <si>
    <t>Cuaderno numero: 1</t>
  </si>
  <si>
    <t xml:space="preserve">Cuaderno de Ingenieria </t>
  </si>
  <si>
    <t>Centro Universitario de Guadalajara</t>
  </si>
  <si>
    <t xml:space="preserve">Nombre del Ingeniero </t>
  </si>
  <si>
    <t>Edgar Raymundo Gonzalez Torres</t>
  </si>
  <si>
    <t>Telefono/correo electronico</t>
  </si>
  <si>
    <t>3323772752/eraymundo.gonzalez@alumnos.udg.mx</t>
  </si>
  <si>
    <t>Fecha de apertura</t>
  </si>
  <si>
    <t>Fecha de cierre</t>
  </si>
  <si>
    <t>Numero de Semanas (numero anterior + 1): 2</t>
  </si>
  <si>
    <t>Numero de Semanas (numero anterior + 1): 1</t>
  </si>
  <si>
    <t>Tarea</t>
  </si>
  <si>
    <t>Fecha: 13/04/2026</t>
  </si>
  <si>
    <t>Tiempo</t>
  </si>
  <si>
    <t>RF002</t>
  </si>
  <si>
    <t>X</t>
  </si>
  <si>
    <t>RF002, revisión de documentación y avances</t>
  </si>
  <si>
    <t>Reorganizacion de archivos</t>
  </si>
  <si>
    <t>Creación de repositorio</t>
  </si>
  <si>
    <t>Codigo</t>
  </si>
  <si>
    <t>Reunion</t>
  </si>
  <si>
    <t>Interfaz</t>
  </si>
  <si>
    <t>Evaluación</t>
  </si>
  <si>
    <t>Reunión de equipo, solucion de dudas, revision del 830</t>
  </si>
  <si>
    <t>Diagramas</t>
  </si>
  <si>
    <t xml:space="preserve">Clases, Estados, Actividades, Despliegue </t>
  </si>
  <si>
    <t>DB</t>
  </si>
  <si>
    <t>Fecha: 20/04/2026</t>
  </si>
  <si>
    <t>Fecha: 27/04/2026</t>
  </si>
  <si>
    <t>Fecha: 04/05/2026</t>
  </si>
  <si>
    <t>Numero de Semanas (numero anterior + 1): 3</t>
  </si>
  <si>
    <t>Numero de Semanas (numero anterior + 1): 4</t>
  </si>
  <si>
    <t>Numero de Semanas (numero anterior + 1): 5</t>
  </si>
  <si>
    <t>Fecha: 11/05/2026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</si>
</sst>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14" fontId="2" fillId="0" borderId="0" xfId="0" applyNumberFormat="1" applyFont="1"/>
    <xf numFmtId="0" fontId="0" fillId="0" borderId="10" xfId="0" applyBorder="1"/>
    <xf numFmtId="0" fontId="0" fillId="0" borderId="3" xfId="0" applyBorder="1"/>
    <xf numFmtId="0" fontId="0" fillId="0" borderId="1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quotePrefix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3323772752/eraymundo.gonzalez@alumnos.udg.m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9111-0881-45A0-AB6A-AE4082F8BE43}">
  <dimension ref="B2:O30"/>
  <sheetViews>
    <sheetView showGridLines="0" zoomScale="80" zoomScaleNormal="80" workbookViewId="0">
      <selection activeCell="T18" sqref="T18"/>
    </sheetView>
  </sheetViews>
  <sheetFormatPr defaultRowHeight="14.4" x14ac:dyDescent="0.3"/>
  <cols>
    <col min="1" max="1" width="7.6640625" customWidth="1"/>
    <col min="2" max="2" width="3.44140625" customWidth="1"/>
    <col min="3" max="4" width="4.44140625" customWidth="1"/>
    <col min="6" max="6" width="9.88671875" customWidth="1"/>
    <col min="8" max="8" width="10" customWidth="1"/>
    <col min="9" max="9" width="11" customWidth="1"/>
    <col min="15" max="15" width="3.21875" customWidth="1"/>
  </cols>
  <sheetData>
    <row r="2" spans="2:15" x14ac:dyDescent="0.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x14ac:dyDescent="0.3">
      <c r="B3" s="8"/>
      <c r="M3" s="21" t="s">
        <v>30</v>
      </c>
      <c r="N3" s="22"/>
      <c r="O3" s="9"/>
    </row>
    <row r="4" spans="2:15" x14ac:dyDescent="0.3">
      <c r="B4" s="8"/>
      <c r="O4" s="9"/>
    </row>
    <row r="5" spans="2:15" x14ac:dyDescent="0.3">
      <c r="B5" s="8"/>
      <c r="O5" s="9"/>
    </row>
    <row r="6" spans="2:15" x14ac:dyDescent="0.3">
      <c r="B6" s="8"/>
      <c r="O6" s="9"/>
    </row>
    <row r="7" spans="2:15" x14ac:dyDescent="0.3">
      <c r="B7" s="8"/>
      <c r="O7" s="9"/>
    </row>
    <row r="8" spans="2:15" x14ac:dyDescent="0.3">
      <c r="B8" s="8"/>
      <c r="O8" s="9"/>
    </row>
    <row r="9" spans="2:15" x14ac:dyDescent="0.3">
      <c r="B9" s="8"/>
      <c r="H9" s="18" t="s">
        <v>31</v>
      </c>
      <c r="I9" s="18"/>
      <c r="O9" s="9"/>
    </row>
    <row r="10" spans="2:15" x14ac:dyDescent="0.3">
      <c r="B10" s="8"/>
      <c r="G10" s="18" t="s">
        <v>32</v>
      </c>
      <c r="H10" s="18"/>
      <c r="I10" s="18"/>
      <c r="J10" s="18"/>
      <c r="O10" s="9"/>
    </row>
    <row r="11" spans="2:15" x14ac:dyDescent="0.3">
      <c r="B11" s="8"/>
      <c r="O11" s="9"/>
    </row>
    <row r="12" spans="2:15" x14ac:dyDescent="0.3">
      <c r="B12" s="8"/>
      <c r="O12" s="9"/>
    </row>
    <row r="13" spans="2:15" x14ac:dyDescent="0.3">
      <c r="B13" s="8"/>
      <c r="O13" s="9"/>
    </row>
    <row r="14" spans="2:15" x14ac:dyDescent="0.3">
      <c r="B14" s="8"/>
      <c r="O14" s="9"/>
    </row>
    <row r="15" spans="2:15" x14ac:dyDescent="0.3">
      <c r="B15" s="8"/>
      <c r="O15" s="9"/>
    </row>
    <row r="16" spans="2:15" x14ac:dyDescent="0.3">
      <c r="B16" s="8"/>
      <c r="O16" s="9"/>
    </row>
    <row r="17" spans="2:15" x14ac:dyDescent="0.3">
      <c r="B17" s="8"/>
      <c r="O17" s="9"/>
    </row>
    <row r="18" spans="2:15" x14ac:dyDescent="0.3">
      <c r="B18" s="8"/>
      <c r="O18" s="9"/>
    </row>
    <row r="19" spans="2:15" x14ac:dyDescent="0.3">
      <c r="B19" s="8"/>
      <c r="F19" s="18" t="s">
        <v>33</v>
      </c>
      <c r="G19" s="18"/>
      <c r="H19" s="20" t="s">
        <v>34</v>
      </c>
      <c r="I19" s="20"/>
      <c r="J19" s="20"/>
      <c r="K19" s="20"/>
      <c r="O19" s="9"/>
    </row>
    <row r="20" spans="2:15" x14ac:dyDescent="0.3">
      <c r="B20" s="8"/>
      <c r="E20" s="18" t="s">
        <v>35</v>
      </c>
      <c r="F20" s="18"/>
      <c r="G20" s="18"/>
      <c r="H20" s="19" t="s">
        <v>36</v>
      </c>
      <c r="I20" s="20"/>
      <c r="J20" s="20"/>
      <c r="K20" s="20"/>
      <c r="L20" s="20"/>
      <c r="M20" s="20"/>
      <c r="N20" s="20"/>
      <c r="O20" s="9"/>
    </row>
    <row r="21" spans="2:15" x14ac:dyDescent="0.3">
      <c r="B21" s="8"/>
      <c r="O21" s="9"/>
    </row>
    <row r="22" spans="2:15" x14ac:dyDescent="0.3">
      <c r="B22" s="8"/>
      <c r="O22" s="9"/>
    </row>
    <row r="23" spans="2:15" x14ac:dyDescent="0.3">
      <c r="B23" s="8"/>
      <c r="G23" s="18" t="s">
        <v>37</v>
      </c>
      <c r="H23" s="18"/>
      <c r="I23" s="10">
        <v>46125</v>
      </c>
      <c r="K23" s="18" t="s">
        <v>38</v>
      </c>
      <c r="L23" s="18"/>
      <c r="O23" s="9"/>
    </row>
    <row r="24" spans="2:15" x14ac:dyDescent="0.3">
      <c r="B24" s="8"/>
      <c r="O24" s="9"/>
    </row>
    <row r="25" spans="2:15" x14ac:dyDescent="0.3">
      <c r="B25" s="8"/>
      <c r="O25" s="9"/>
    </row>
    <row r="26" spans="2:15" x14ac:dyDescent="0.3">
      <c r="B26" s="8"/>
      <c r="O26" s="9"/>
    </row>
    <row r="27" spans="2:15" x14ac:dyDescent="0.3">
      <c r="B27" s="8"/>
      <c r="O27" s="9"/>
    </row>
    <row r="28" spans="2:15" x14ac:dyDescent="0.3">
      <c r="B28" s="8"/>
      <c r="O28" s="9"/>
    </row>
    <row r="29" spans="2:15" x14ac:dyDescent="0.3">
      <c r="B29" s="8"/>
      <c r="O29" s="9"/>
    </row>
    <row r="30" spans="2:15" ht="52.8" customHeight="1" x14ac:dyDescent="0.3"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</row>
  </sheetData>
  <mergeCells count="9">
    <mergeCell ref="E20:G20"/>
    <mergeCell ref="H20:N20"/>
    <mergeCell ref="G23:H23"/>
    <mergeCell ref="K23:L23"/>
    <mergeCell ref="M3:N3"/>
    <mergeCell ref="G10:J10"/>
    <mergeCell ref="H9:I9"/>
    <mergeCell ref="F19:G19"/>
    <mergeCell ref="H19:K19"/>
  </mergeCells>
  <hyperlinks>
    <hyperlink ref="H20" r:id="rId1" xr:uid="{8616D2B0-5413-4127-8ED4-89AFBFEAADA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1800-7969-450B-9771-F0757FFA05AC}">
  <dimension ref="A1:I19"/>
  <sheetViews>
    <sheetView showGridLines="0" tabSelected="1" topLeftCell="A4" workbookViewId="0">
      <selection activeCell="D26" sqref="D26"/>
    </sheetView>
  </sheetViews>
  <sheetFormatPr defaultRowHeight="14.4" x14ac:dyDescent="0.3"/>
  <cols>
    <col min="1" max="1" width="10.33203125" bestFit="1" customWidth="1"/>
    <col min="4" max="4" width="19.5546875" bestFit="1" customWidth="1"/>
    <col min="5" max="5" width="9.21875" customWidth="1"/>
    <col min="6" max="6" width="24.33203125" customWidth="1"/>
    <col min="7" max="7" width="54.77734375" customWidth="1"/>
  </cols>
  <sheetData>
    <row r="1" spans="1:9" x14ac:dyDescent="0.3">
      <c r="A1" s="23" t="s">
        <v>0</v>
      </c>
      <c r="B1" s="23"/>
      <c r="C1" s="23"/>
      <c r="D1" s="23"/>
      <c r="E1" s="14"/>
      <c r="F1" s="1" t="s">
        <v>27</v>
      </c>
    </row>
    <row r="3" spans="1:9" x14ac:dyDescent="0.3">
      <c r="A3" s="23" t="s">
        <v>1</v>
      </c>
      <c r="B3" s="23"/>
      <c r="C3" s="23"/>
      <c r="D3" s="23"/>
      <c r="E3" s="14"/>
      <c r="F3" s="1" t="s">
        <v>2</v>
      </c>
    </row>
    <row r="5" spans="1:9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43</v>
      </c>
      <c r="F5" s="1" t="s">
        <v>7</v>
      </c>
      <c r="G5" s="1" t="s">
        <v>8</v>
      </c>
      <c r="H5" s="1" t="s">
        <v>9</v>
      </c>
      <c r="I5" s="1" t="s">
        <v>10</v>
      </c>
    </row>
    <row r="6" spans="1:9" x14ac:dyDescent="0.3">
      <c r="A6" s="2">
        <v>46125</v>
      </c>
      <c r="B6" s="3">
        <v>0.76388888888888884</v>
      </c>
      <c r="C6" s="3">
        <v>0.78472222222222221</v>
      </c>
      <c r="D6" s="1"/>
      <c r="E6" s="1">
        <v>30</v>
      </c>
      <c r="F6" s="1" t="s">
        <v>11</v>
      </c>
      <c r="G6" s="1" t="s">
        <v>48</v>
      </c>
      <c r="H6" s="1"/>
      <c r="I6" s="1"/>
    </row>
    <row r="7" spans="1:9" x14ac:dyDescent="0.3">
      <c r="A7" s="2">
        <v>46132</v>
      </c>
      <c r="B7" s="3">
        <v>0.71875</v>
      </c>
      <c r="C7" s="3">
        <v>0.77430555555555558</v>
      </c>
      <c r="D7" s="16">
        <v>20</v>
      </c>
      <c r="E7" s="1">
        <v>60</v>
      </c>
      <c r="F7" s="1" t="s">
        <v>28</v>
      </c>
      <c r="G7" s="1" t="s">
        <v>29</v>
      </c>
      <c r="H7" s="1"/>
      <c r="I7" s="1"/>
    </row>
    <row r="8" spans="1:9" x14ac:dyDescent="0.3">
      <c r="A8" s="2">
        <v>46139</v>
      </c>
      <c r="B8" s="3">
        <v>0.72222222222222221</v>
      </c>
      <c r="C8" s="3">
        <v>0.78194444444444444</v>
      </c>
      <c r="D8" s="3"/>
      <c r="E8" s="16">
        <v>86</v>
      </c>
      <c r="F8" s="1" t="s">
        <v>44</v>
      </c>
      <c r="G8" s="1" t="s">
        <v>44</v>
      </c>
      <c r="H8" s="1"/>
      <c r="I8" s="1"/>
    </row>
    <row r="9" spans="1:9" x14ac:dyDescent="0.3">
      <c r="A9" s="2">
        <v>46141</v>
      </c>
      <c r="B9" s="3">
        <v>0.72916666666666663</v>
      </c>
      <c r="C9" s="3">
        <v>0.77777777777777779</v>
      </c>
      <c r="D9" s="1">
        <v>10</v>
      </c>
      <c r="E9" s="16">
        <v>70</v>
      </c>
      <c r="F9" s="1" t="s">
        <v>44</v>
      </c>
      <c r="G9" s="1" t="s">
        <v>44</v>
      </c>
      <c r="H9" s="1"/>
      <c r="I9" s="1"/>
    </row>
    <row r="10" spans="1:9" x14ac:dyDescent="0.3">
      <c r="A10" s="2">
        <v>46146</v>
      </c>
      <c r="B10" s="3">
        <v>0.72916666666666663</v>
      </c>
      <c r="C10" s="3">
        <v>0.76388888888888884</v>
      </c>
      <c r="D10" s="1">
        <v>20</v>
      </c>
      <c r="E10" s="1">
        <v>30</v>
      </c>
      <c r="F10" s="1" t="s">
        <v>44</v>
      </c>
      <c r="G10" s="1" t="s">
        <v>46</v>
      </c>
      <c r="H10" s="1" t="s">
        <v>45</v>
      </c>
      <c r="I10" s="1">
        <v>1</v>
      </c>
    </row>
    <row r="11" spans="1:9" x14ac:dyDescent="0.3">
      <c r="A11" s="2">
        <v>46147</v>
      </c>
      <c r="B11" s="3">
        <v>0.5625</v>
      </c>
      <c r="C11" s="3">
        <v>0.58333333333333337</v>
      </c>
      <c r="D11" s="1"/>
      <c r="E11" s="1">
        <v>30</v>
      </c>
      <c r="F11" s="1" t="s">
        <v>11</v>
      </c>
      <c r="G11" s="1" t="s">
        <v>47</v>
      </c>
      <c r="H11" s="1"/>
      <c r="I11" s="1"/>
    </row>
    <row r="12" spans="1:9" x14ac:dyDescent="0.3">
      <c r="A12" s="2">
        <v>46147</v>
      </c>
      <c r="B12" s="3">
        <v>0.77083333333333337</v>
      </c>
      <c r="C12" s="3">
        <v>0.8125</v>
      </c>
      <c r="D12" s="1"/>
      <c r="E12" s="1">
        <v>60</v>
      </c>
      <c r="F12" s="1" t="s">
        <v>50</v>
      </c>
      <c r="G12" s="1" t="s">
        <v>53</v>
      </c>
      <c r="H12" s="1"/>
      <c r="I12" s="1"/>
    </row>
    <row r="13" spans="1:9" x14ac:dyDescent="0.3">
      <c r="A13" s="2">
        <v>46148</v>
      </c>
      <c r="B13" s="3">
        <v>0.72222222222222221</v>
      </c>
      <c r="C13" s="3">
        <v>0.77083333333333337</v>
      </c>
      <c r="D13" s="1">
        <v>10</v>
      </c>
      <c r="E13" s="1">
        <v>60</v>
      </c>
      <c r="F13" s="1" t="s">
        <v>49</v>
      </c>
      <c r="G13" s="1" t="s">
        <v>51</v>
      </c>
      <c r="H13" s="1"/>
      <c r="I13" s="1"/>
    </row>
    <row r="14" spans="1:9" x14ac:dyDescent="0.3">
      <c r="A14" s="2">
        <v>46151</v>
      </c>
      <c r="B14" s="3">
        <v>0.38541666666666669</v>
      </c>
      <c r="C14" s="3">
        <v>0.52777777777777779</v>
      </c>
      <c r="D14" s="1">
        <v>40</v>
      </c>
      <c r="E14" s="16">
        <v>225</v>
      </c>
      <c r="F14" s="1" t="s">
        <v>49</v>
      </c>
      <c r="G14" s="1" t="s">
        <v>52</v>
      </c>
      <c r="H14" s="1" t="s">
        <v>45</v>
      </c>
      <c r="I14" s="1">
        <v>1</v>
      </c>
    </row>
    <row r="15" spans="1:9" x14ac:dyDescent="0.3">
      <c r="A15" s="2">
        <v>46153</v>
      </c>
      <c r="B15" s="3">
        <v>0.45833333333333331</v>
      </c>
      <c r="C15" s="3">
        <v>0.64583333333333337</v>
      </c>
      <c r="D15" s="1">
        <v>30</v>
      </c>
      <c r="E15" s="1">
        <v>270</v>
      </c>
      <c r="F15" s="1" t="s">
        <v>49</v>
      </c>
      <c r="G15" s="1" t="s">
        <v>56</v>
      </c>
      <c r="H15" s="1" t="s">
        <v>45</v>
      </c>
      <c r="I15" s="1">
        <v>1</v>
      </c>
    </row>
    <row r="16" spans="1:9" x14ac:dyDescent="0.3">
      <c r="A16" s="2">
        <v>46153</v>
      </c>
      <c r="B16" s="3">
        <v>0.69444444444444442</v>
      </c>
      <c r="C16" s="3">
        <v>0.94097222222222221</v>
      </c>
      <c r="D16" s="1">
        <v>75</v>
      </c>
      <c r="E16" s="1">
        <v>280</v>
      </c>
      <c r="F16" s="1" t="s">
        <v>49</v>
      </c>
      <c r="G16" s="1" t="s">
        <v>51</v>
      </c>
      <c r="H16" s="1"/>
      <c r="I16" s="1"/>
    </row>
    <row r="17" spans="1:9" x14ac:dyDescent="0.3">
      <c r="A17" s="2">
        <v>46154</v>
      </c>
      <c r="B17" s="3">
        <v>0.41666666666666669</v>
      </c>
      <c r="C17" s="3">
        <v>0.65972222222222221</v>
      </c>
      <c r="D17" s="1">
        <v>30</v>
      </c>
      <c r="E17" s="1">
        <v>310</v>
      </c>
      <c r="F17" s="1" t="s">
        <v>49</v>
      </c>
      <c r="G17" s="1" t="s">
        <v>51</v>
      </c>
      <c r="H17" s="1"/>
      <c r="I17" s="1"/>
    </row>
    <row r="18" spans="1:9" x14ac:dyDescent="0.3">
      <c r="A18" s="2">
        <v>46154</v>
      </c>
      <c r="B18" s="3">
        <v>0.70833333333333337</v>
      </c>
      <c r="C18" s="3">
        <v>0.86111111111111116</v>
      </c>
      <c r="D18" s="1">
        <v>30</v>
      </c>
      <c r="E18" s="1">
        <v>190</v>
      </c>
      <c r="F18" s="1" t="s">
        <v>54</v>
      </c>
      <c r="G18" s="1" t="s">
        <v>55</v>
      </c>
      <c r="H18" s="1" t="s">
        <v>45</v>
      </c>
      <c r="I18" s="1">
        <v>1</v>
      </c>
    </row>
    <row r="19" spans="1:9" x14ac:dyDescent="0.3">
      <c r="A19" s="2">
        <v>46155</v>
      </c>
      <c r="B19" s="3">
        <v>0.6875</v>
      </c>
      <c r="C19" s="3">
        <v>0.77083333333333337</v>
      </c>
      <c r="D19" s="1"/>
      <c r="E19" s="1">
        <v>120</v>
      </c>
      <c r="F19" s="1" t="s">
        <v>49</v>
      </c>
      <c r="G19" s="1" t="s">
        <v>51</v>
      </c>
      <c r="H19" s="1" t="s">
        <v>45</v>
      </c>
      <c r="I19" s="1">
        <v>1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7D32-B431-4251-9682-04BFC9638BBB}">
  <dimension ref="A1:I25"/>
  <sheetViews>
    <sheetView showGridLines="0" workbookViewId="0">
      <selection activeCell="H2" sqref="H2"/>
    </sheetView>
  </sheetViews>
  <sheetFormatPr defaultRowHeight="14.4" x14ac:dyDescent="0.3"/>
  <cols>
    <col min="2" max="2" width="12.33203125" customWidth="1"/>
    <col min="6" max="6" width="9.88671875" customWidth="1"/>
  </cols>
  <sheetData>
    <row r="1" spans="1:9" x14ac:dyDescent="0.3">
      <c r="A1" s="18" t="s">
        <v>26</v>
      </c>
      <c r="B1" s="18"/>
      <c r="C1" s="18"/>
      <c r="D1" s="18"/>
      <c r="G1" s="18" t="s">
        <v>42</v>
      </c>
      <c r="H1" s="18"/>
      <c r="I1" s="18"/>
    </row>
    <row r="2" spans="1:9" x14ac:dyDescent="0.3">
      <c r="A2" s="15" t="s">
        <v>41</v>
      </c>
      <c r="B2" s="1" t="s">
        <v>11</v>
      </c>
      <c r="C2" s="4" t="s">
        <v>28</v>
      </c>
      <c r="D2" s="1" t="s">
        <v>44</v>
      </c>
      <c r="E2" s="1" t="s">
        <v>49</v>
      </c>
      <c r="F2" s="1" t="s">
        <v>54</v>
      </c>
      <c r="G2" s="4" t="s">
        <v>50</v>
      </c>
      <c r="H2" s="4"/>
      <c r="I2" s="4"/>
    </row>
    <row r="3" spans="1:9" x14ac:dyDescent="0.3">
      <c r="A3" s="1" t="s">
        <v>3</v>
      </c>
      <c r="B3" s="2"/>
      <c r="C3" s="1"/>
      <c r="D3" s="1"/>
      <c r="E3" s="1"/>
      <c r="F3" s="1"/>
      <c r="G3" s="1"/>
      <c r="H3" s="1"/>
      <c r="I3" s="1" t="s">
        <v>19</v>
      </c>
    </row>
    <row r="4" spans="1:9" x14ac:dyDescent="0.3">
      <c r="A4" s="1" t="s">
        <v>12</v>
      </c>
      <c r="B4" s="1"/>
      <c r="C4" s="1"/>
      <c r="D4" s="1"/>
      <c r="E4" s="1"/>
      <c r="F4" s="1"/>
      <c r="G4" s="1"/>
      <c r="H4" s="1"/>
      <c r="I4" s="1"/>
    </row>
    <row r="5" spans="1:9" x14ac:dyDescent="0.3">
      <c r="A5" s="1" t="s">
        <v>13</v>
      </c>
      <c r="B5" s="1">
        <v>30</v>
      </c>
      <c r="C5" s="1"/>
      <c r="D5" s="1"/>
      <c r="E5" s="1"/>
      <c r="F5" s="1"/>
      <c r="G5" s="1"/>
      <c r="H5" s="1"/>
      <c r="I5" s="1">
        <v>30</v>
      </c>
    </row>
    <row r="6" spans="1:9" x14ac:dyDescent="0.3">
      <c r="A6" s="1" t="s">
        <v>14</v>
      </c>
      <c r="B6" s="1"/>
      <c r="C6" s="1"/>
      <c r="D6" s="1"/>
      <c r="E6" s="1"/>
      <c r="F6" s="1"/>
      <c r="G6" s="1"/>
      <c r="H6" s="1"/>
      <c r="I6" s="1"/>
    </row>
    <row r="7" spans="1:9" x14ac:dyDescent="0.3">
      <c r="A7" s="1" t="s">
        <v>14</v>
      </c>
      <c r="B7" s="1"/>
      <c r="C7" s="1"/>
      <c r="D7" s="1"/>
      <c r="E7" s="1"/>
      <c r="F7" s="1"/>
      <c r="G7" s="1"/>
      <c r="H7" s="1"/>
      <c r="I7" s="1"/>
    </row>
    <row r="8" spans="1:9" x14ac:dyDescent="0.3">
      <c r="A8" s="1" t="s">
        <v>15</v>
      </c>
      <c r="B8" s="1"/>
      <c r="C8" s="1"/>
      <c r="D8" s="1"/>
      <c r="E8" s="1"/>
      <c r="F8" s="1"/>
      <c r="G8" s="1"/>
      <c r="H8" s="1"/>
      <c r="I8" s="1"/>
    </row>
    <row r="9" spans="1:9" x14ac:dyDescent="0.3">
      <c r="A9" s="1" t="s">
        <v>16</v>
      </c>
      <c r="B9" s="1"/>
      <c r="C9" s="1"/>
      <c r="D9" s="1"/>
      <c r="E9" s="1"/>
      <c r="F9" s="1"/>
      <c r="G9" s="1"/>
      <c r="H9" s="1"/>
      <c r="I9" s="1"/>
    </row>
    <row r="10" spans="1:9" x14ac:dyDescent="0.3">
      <c r="A10" s="1" t="s">
        <v>17</v>
      </c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 t="s">
        <v>18</v>
      </c>
      <c r="B11" s="1">
        <v>30</v>
      </c>
      <c r="C11" s="1"/>
      <c r="D11" s="1"/>
      <c r="E11" s="1"/>
      <c r="F11" s="1"/>
      <c r="G11" s="1"/>
      <c r="H11" s="1"/>
      <c r="I11" s="1">
        <v>30</v>
      </c>
    </row>
    <row r="13" spans="1:9" x14ac:dyDescent="0.3">
      <c r="A13" s="18" t="s">
        <v>20</v>
      </c>
      <c r="B13" s="18"/>
      <c r="C13" s="18"/>
      <c r="E13" s="18" t="s">
        <v>40</v>
      </c>
      <c r="F13" s="18"/>
      <c r="G13" s="18"/>
      <c r="H13" s="18"/>
      <c r="I13" s="18"/>
    </row>
    <row r="15" spans="1:9" x14ac:dyDescent="0.3">
      <c r="A15" s="17" t="s">
        <v>21</v>
      </c>
      <c r="B15" s="17"/>
      <c r="C15" s="17"/>
      <c r="D15" s="17"/>
    </row>
    <row r="16" spans="1:9" x14ac:dyDescent="0.3">
      <c r="A16" s="1" t="s">
        <v>18</v>
      </c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 t="s">
        <v>22</v>
      </c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 t="s">
        <v>23</v>
      </c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 t="s">
        <v>24</v>
      </c>
      <c r="B19" s="1"/>
      <c r="C19" s="1"/>
      <c r="D19" s="1"/>
      <c r="E19" s="1"/>
      <c r="F19" s="1"/>
      <c r="G19" s="1"/>
      <c r="H19" s="1"/>
      <c r="I19" s="1"/>
    </row>
    <row r="21" spans="1:9" x14ac:dyDescent="0.3">
      <c r="A21" s="17" t="s">
        <v>25</v>
      </c>
      <c r="B21" s="17"/>
      <c r="C21" s="17"/>
      <c r="D21" s="17"/>
    </row>
    <row r="22" spans="1:9" x14ac:dyDescent="0.3">
      <c r="A22" s="1" t="s">
        <v>18</v>
      </c>
      <c r="B22" s="1">
        <v>30</v>
      </c>
      <c r="C22" s="1"/>
      <c r="D22" s="1"/>
      <c r="E22" s="1"/>
      <c r="F22" s="1"/>
      <c r="G22" s="1"/>
      <c r="H22" s="1"/>
      <c r="I22" s="1">
        <v>30</v>
      </c>
    </row>
    <row r="23" spans="1:9" x14ac:dyDescent="0.3">
      <c r="A23" s="1" t="s">
        <v>22</v>
      </c>
      <c r="B23" s="1">
        <v>30</v>
      </c>
      <c r="C23" s="1"/>
      <c r="D23" s="1"/>
      <c r="E23" s="1"/>
      <c r="F23" s="1"/>
      <c r="G23" s="1"/>
      <c r="H23" s="1"/>
      <c r="I23" s="1">
        <v>30</v>
      </c>
    </row>
    <row r="24" spans="1:9" x14ac:dyDescent="0.3">
      <c r="A24" s="1" t="s">
        <v>23</v>
      </c>
      <c r="B24" s="1">
        <v>30</v>
      </c>
      <c r="C24" s="1"/>
      <c r="D24" s="1"/>
      <c r="E24" s="1"/>
      <c r="F24" s="1"/>
      <c r="G24" s="1"/>
      <c r="H24" s="1"/>
      <c r="I24" s="1">
        <v>30</v>
      </c>
    </row>
    <row r="25" spans="1:9" x14ac:dyDescent="0.3">
      <c r="A25" s="1" t="s">
        <v>24</v>
      </c>
      <c r="B25" s="1">
        <v>30</v>
      </c>
      <c r="C25" s="1"/>
      <c r="D25" s="1"/>
      <c r="E25" s="1"/>
      <c r="F25" s="1"/>
      <c r="G25" s="1"/>
      <c r="H25" s="1"/>
      <c r="I25" s="1">
        <v>30</v>
      </c>
    </row>
  </sheetData>
  <mergeCells count="6">
    <mergeCell ref="A13:C13"/>
    <mergeCell ref="E13:I13"/>
    <mergeCell ref="A15:D15"/>
    <mergeCell ref="A21:D21"/>
    <mergeCell ref="A1:D1"/>
    <mergeCell ref="G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12C4-93F1-4250-9B13-CEEDCD88B5F0}">
  <dimension ref="A1:I25"/>
  <sheetViews>
    <sheetView showGridLines="0" workbookViewId="0">
      <selection activeCell="M14" sqref="M14"/>
    </sheetView>
  </sheetViews>
  <sheetFormatPr defaultRowHeight="14.4" x14ac:dyDescent="0.3"/>
  <cols>
    <col min="2" max="2" width="10.44140625" customWidth="1"/>
    <col min="6" max="6" width="10.77734375" customWidth="1"/>
  </cols>
  <sheetData>
    <row r="1" spans="1:9" x14ac:dyDescent="0.3">
      <c r="A1" s="18" t="s">
        <v>26</v>
      </c>
      <c r="B1" s="18"/>
      <c r="C1" s="18"/>
      <c r="D1" s="18"/>
      <c r="G1" s="18" t="s">
        <v>57</v>
      </c>
      <c r="H1" s="18"/>
      <c r="I1" s="18"/>
    </row>
    <row r="2" spans="1:9" x14ac:dyDescent="0.3">
      <c r="A2" s="15" t="s">
        <v>41</v>
      </c>
      <c r="B2" s="1" t="s">
        <v>11</v>
      </c>
      <c r="C2" s="4" t="s">
        <v>28</v>
      </c>
      <c r="D2" s="1" t="s">
        <v>44</v>
      </c>
      <c r="E2" s="1" t="s">
        <v>49</v>
      </c>
      <c r="F2" s="1" t="s">
        <v>54</v>
      </c>
      <c r="G2" s="4" t="s">
        <v>50</v>
      </c>
      <c r="H2" s="4"/>
      <c r="I2" s="4"/>
    </row>
    <row r="3" spans="1:9" x14ac:dyDescent="0.3">
      <c r="A3" s="1" t="s">
        <v>3</v>
      </c>
      <c r="B3" s="1"/>
      <c r="C3" s="1"/>
      <c r="D3" s="1"/>
      <c r="E3" s="1"/>
      <c r="F3" s="1"/>
      <c r="G3" s="1"/>
      <c r="H3" s="1"/>
      <c r="I3" s="1" t="s">
        <v>19</v>
      </c>
    </row>
    <row r="4" spans="1:9" x14ac:dyDescent="0.3">
      <c r="A4" s="1" t="s">
        <v>12</v>
      </c>
      <c r="B4" s="1"/>
      <c r="C4" s="1"/>
      <c r="D4" s="1"/>
      <c r="E4" s="1"/>
      <c r="F4" s="1"/>
      <c r="G4" s="1"/>
      <c r="H4" s="1"/>
      <c r="I4" s="1"/>
    </row>
    <row r="5" spans="1:9" x14ac:dyDescent="0.3">
      <c r="A5" s="1" t="s">
        <v>13</v>
      </c>
      <c r="B5" s="1"/>
      <c r="C5" s="1"/>
      <c r="D5" s="1"/>
      <c r="E5" s="1"/>
      <c r="F5" s="1"/>
      <c r="G5" s="1"/>
      <c r="H5" s="1"/>
      <c r="I5" s="1"/>
    </row>
    <row r="6" spans="1:9" x14ac:dyDescent="0.3">
      <c r="A6" s="1" t="s">
        <v>14</v>
      </c>
      <c r="B6" s="1"/>
      <c r="C6" s="1"/>
      <c r="D6" s="1"/>
      <c r="E6" s="1"/>
      <c r="F6" s="1"/>
      <c r="G6" s="1"/>
      <c r="H6" s="1"/>
      <c r="I6" s="1"/>
    </row>
    <row r="7" spans="1:9" x14ac:dyDescent="0.3">
      <c r="A7" s="1" t="s">
        <v>14</v>
      </c>
      <c r="B7" s="1"/>
      <c r="C7" s="1">
        <v>60</v>
      </c>
      <c r="D7" s="1"/>
      <c r="E7" s="1"/>
      <c r="F7" s="1"/>
      <c r="G7" s="1"/>
      <c r="H7" s="1"/>
      <c r="I7" s="1">
        <v>60</v>
      </c>
    </row>
    <row r="8" spans="1:9" x14ac:dyDescent="0.3">
      <c r="A8" s="1" t="s">
        <v>15</v>
      </c>
      <c r="B8" s="1"/>
      <c r="C8" s="1"/>
      <c r="D8" s="1"/>
      <c r="E8" s="1"/>
      <c r="F8" s="1"/>
      <c r="G8" s="1"/>
      <c r="H8" s="1"/>
      <c r="I8" s="1"/>
    </row>
    <row r="9" spans="1:9" x14ac:dyDescent="0.3">
      <c r="A9" s="1" t="s">
        <v>16</v>
      </c>
      <c r="B9" s="1"/>
      <c r="C9" s="1"/>
      <c r="D9" s="1"/>
      <c r="E9" s="1"/>
      <c r="F9" s="1"/>
      <c r="G9" s="1"/>
      <c r="H9" s="1"/>
      <c r="I9" s="1"/>
    </row>
    <row r="10" spans="1:9" x14ac:dyDescent="0.3">
      <c r="A10" s="1" t="s">
        <v>17</v>
      </c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 t="s">
        <v>18</v>
      </c>
      <c r="B11" s="1"/>
      <c r="C11" s="1">
        <v>60</v>
      </c>
      <c r="D11" s="1"/>
      <c r="E11" s="1"/>
      <c r="F11" s="1"/>
      <c r="G11" s="1"/>
      <c r="H11" s="1"/>
      <c r="I11" s="1">
        <v>60</v>
      </c>
    </row>
    <row r="13" spans="1:9" x14ac:dyDescent="0.3">
      <c r="A13" s="18" t="s">
        <v>20</v>
      </c>
      <c r="B13" s="18"/>
      <c r="C13" s="18"/>
      <c r="E13" s="18" t="s">
        <v>39</v>
      </c>
      <c r="F13" s="18"/>
      <c r="G13" s="18"/>
      <c r="H13" s="18"/>
      <c r="I13" s="18"/>
    </row>
    <row r="15" spans="1:9" x14ac:dyDescent="0.3">
      <c r="A15" s="17" t="s">
        <v>21</v>
      </c>
      <c r="B15" s="17"/>
      <c r="C15" s="17"/>
      <c r="D15" s="17"/>
    </row>
    <row r="16" spans="1:9" x14ac:dyDescent="0.3">
      <c r="A16" s="1" t="s">
        <v>18</v>
      </c>
      <c r="B16" s="1">
        <v>30</v>
      </c>
      <c r="C16" s="1"/>
      <c r="D16" s="1"/>
      <c r="E16" s="1"/>
      <c r="F16" s="1"/>
      <c r="G16" s="1"/>
      <c r="H16" s="1"/>
      <c r="I16" s="1">
        <v>30</v>
      </c>
    </row>
    <row r="17" spans="1:9" x14ac:dyDescent="0.3">
      <c r="A17" s="1" t="s">
        <v>22</v>
      </c>
      <c r="B17" s="1">
        <v>30</v>
      </c>
      <c r="C17" s="1"/>
      <c r="D17" s="1"/>
      <c r="E17" s="1"/>
      <c r="F17" s="1"/>
      <c r="G17" s="1"/>
      <c r="H17" s="1"/>
      <c r="I17" s="1">
        <v>30</v>
      </c>
    </row>
    <row r="18" spans="1:9" x14ac:dyDescent="0.3">
      <c r="A18" s="1" t="s">
        <v>23</v>
      </c>
      <c r="B18" s="1">
        <v>30</v>
      </c>
      <c r="C18" s="1"/>
      <c r="D18" s="1"/>
      <c r="E18" s="1"/>
      <c r="F18" s="1"/>
      <c r="G18" s="1"/>
      <c r="H18" s="1"/>
      <c r="I18" s="1">
        <v>30</v>
      </c>
    </row>
    <row r="19" spans="1:9" x14ac:dyDescent="0.3">
      <c r="A19" s="1" t="s">
        <v>24</v>
      </c>
      <c r="B19" s="1">
        <v>30</v>
      </c>
      <c r="C19" s="1"/>
      <c r="D19" s="1"/>
      <c r="E19" s="1"/>
      <c r="F19" s="1"/>
      <c r="G19" s="1"/>
      <c r="H19" s="1"/>
      <c r="I19" s="1">
        <v>30</v>
      </c>
    </row>
    <row r="21" spans="1:9" x14ac:dyDescent="0.3">
      <c r="A21" s="17" t="s">
        <v>25</v>
      </c>
      <c r="B21" s="17"/>
      <c r="C21" s="17"/>
      <c r="D21" s="17"/>
    </row>
    <row r="22" spans="1:9" x14ac:dyDescent="0.3">
      <c r="A22" s="1" t="s">
        <v>18</v>
      </c>
      <c r="B22" s="1">
        <v>30</v>
      </c>
      <c r="C22" s="1">
        <v>60</v>
      </c>
      <c r="D22" s="1"/>
      <c r="E22" s="1"/>
      <c r="F22" s="1"/>
      <c r="G22" s="1"/>
      <c r="H22" s="1"/>
      <c r="I22" s="1">
        <v>90</v>
      </c>
    </row>
    <row r="23" spans="1:9" x14ac:dyDescent="0.3">
      <c r="A23" s="1" t="s">
        <v>22</v>
      </c>
      <c r="B23" s="1">
        <v>30</v>
      </c>
      <c r="C23" s="1">
        <v>60</v>
      </c>
      <c r="D23" s="1"/>
      <c r="E23" s="1"/>
      <c r="F23" s="1"/>
      <c r="G23" s="1"/>
      <c r="H23" s="1"/>
      <c r="I23" s="1">
        <v>45</v>
      </c>
    </row>
    <row r="24" spans="1:9" x14ac:dyDescent="0.3">
      <c r="A24" s="1" t="s">
        <v>23</v>
      </c>
      <c r="B24" s="1">
        <v>30</v>
      </c>
      <c r="C24" s="1">
        <v>60</v>
      </c>
      <c r="D24" s="1"/>
      <c r="E24" s="1"/>
      <c r="F24" s="1"/>
      <c r="G24" s="1"/>
      <c r="H24" s="1"/>
      <c r="I24" s="1">
        <v>60</v>
      </c>
    </row>
    <row r="25" spans="1:9" x14ac:dyDescent="0.3">
      <c r="A25" s="1" t="s">
        <v>24</v>
      </c>
      <c r="B25" s="1">
        <v>30</v>
      </c>
      <c r="C25" s="1">
        <v>60</v>
      </c>
      <c r="D25" s="1"/>
      <c r="E25" s="1"/>
      <c r="F25" s="1"/>
      <c r="G25" s="1"/>
      <c r="H25" s="1"/>
      <c r="I25" s="1">
        <v>30</v>
      </c>
    </row>
  </sheetData>
  <mergeCells count="6">
    <mergeCell ref="A21:D21"/>
    <mergeCell ref="A1:D1"/>
    <mergeCell ref="G1:I1"/>
    <mergeCell ref="A13:C13"/>
    <mergeCell ref="E13:I13"/>
    <mergeCell ref="A15:D1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A832-C7EA-4D20-84FC-77171F797A40}">
  <dimension ref="A1:I25"/>
  <sheetViews>
    <sheetView showGridLines="0" workbookViewId="0">
      <selection activeCell="H2" sqref="H2"/>
    </sheetView>
  </sheetViews>
  <sheetFormatPr defaultRowHeight="14.4" x14ac:dyDescent="0.3"/>
  <cols>
    <col min="2" max="2" width="12.33203125" customWidth="1"/>
    <col min="6" max="6" width="10.109375" customWidth="1"/>
  </cols>
  <sheetData>
    <row r="1" spans="1:9" x14ac:dyDescent="0.3">
      <c r="A1" s="18" t="s">
        <v>26</v>
      </c>
      <c r="B1" s="18"/>
      <c r="C1" s="18"/>
      <c r="D1" s="18"/>
      <c r="G1" s="18" t="s">
        <v>58</v>
      </c>
      <c r="H1" s="18"/>
      <c r="I1" s="18"/>
    </row>
    <row r="2" spans="1:9" x14ac:dyDescent="0.3">
      <c r="A2" s="15" t="s">
        <v>41</v>
      </c>
      <c r="B2" s="1" t="s">
        <v>11</v>
      </c>
      <c r="C2" s="4" t="s">
        <v>28</v>
      </c>
      <c r="D2" s="1" t="s">
        <v>44</v>
      </c>
      <c r="E2" s="1" t="s">
        <v>49</v>
      </c>
      <c r="F2" s="1" t="s">
        <v>54</v>
      </c>
      <c r="G2" s="4" t="s">
        <v>50</v>
      </c>
      <c r="H2" s="4"/>
      <c r="I2" s="4"/>
    </row>
    <row r="3" spans="1:9" x14ac:dyDescent="0.3">
      <c r="A3" s="1" t="s">
        <v>3</v>
      </c>
      <c r="B3" s="2"/>
      <c r="C3" s="1"/>
      <c r="D3" s="1"/>
      <c r="E3" s="1"/>
      <c r="F3" s="1"/>
      <c r="G3" s="1"/>
      <c r="H3" s="1"/>
      <c r="I3" s="1" t="s">
        <v>19</v>
      </c>
    </row>
    <row r="4" spans="1:9" x14ac:dyDescent="0.3">
      <c r="A4" s="1" t="s">
        <v>12</v>
      </c>
      <c r="B4" s="1"/>
      <c r="C4" s="1"/>
      <c r="D4" s="1"/>
      <c r="E4" s="1"/>
      <c r="F4" s="1"/>
      <c r="G4" s="1"/>
      <c r="H4" s="1"/>
      <c r="I4" s="1"/>
    </row>
    <row r="5" spans="1:9" x14ac:dyDescent="0.3">
      <c r="A5" s="1" t="s">
        <v>13</v>
      </c>
      <c r="B5" s="1"/>
      <c r="C5" s="1"/>
      <c r="D5" s="1">
        <v>86</v>
      </c>
      <c r="E5" s="1"/>
      <c r="F5" s="1"/>
      <c r="G5" s="1"/>
      <c r="H5" s="1"/>
      <c r="I5" s="1">
        <v>86</v>
      </c>
    </row>
    <row r="6" spans="1:9" x14ac:dyDescent="0.3">
      <c r="A6" s="1" t="s">
        <v>14</v>
      </c>
      <c r="B6" s="1"/>
      <c r="C6" s="1"/>
      <c r="D6" s="1"/>
      <c r="E6" s="1"/>
      <c r="F6" s="1"/>
      <c r="G6" s="1"/>
      <c r="H6" s="1"/>
      <c r="I6" s="1"/>
    </row>
    <row r="7" spans="1:9" x14ac:dyDescent="0.3">
      <c r="A7" s="1" t="s">
        <v>14</v>
      </c>
      <c r="B7" s="1"/>
      <c r="C7" s="1"/>
      <c r="D7" s="1">
        <v>70</v>
      </c>
      <c r="E7" s="1"/>
      <c r="F7" s="1"/>
      <c r="G7" s="1"/>
      <c r="H7" s="1"/>
      <c r="I7" s="1">
        <v>70</v>
      </c>
    </row>
    <row r="8" spans="1:9" x14ac:dyDescent="0.3">
      <c r="A8" s="1" t="s">
        <v>15</v>
      </c>
      <c r="B8" s="1"/>
      <c r="C8" s="1"/>
      <c r="D8" s="1"/>
      <c r="E8" s="1"/>
      <c r="F8" s="1"/>
      <c r="G8" s="1"/>
      <c r="H8" s="1"/>
      <c r="I8" s="1"/>
    </row>
    <row r="9" spans="1:9" x14ac:dyDescent="0.3">
      <c r="A9" s="1" t="s">
        <v>16</v>
      </c>
      <c r="B9" s="1"/>
      <c r="C9" s="1"/>
      <c r="D9" s="1"/>
      <c r="E9" s="1"/>
      <c r="F9" s="1"/>
      <c r="G9" s="1"/>
      <c r="H9" s="1"/>
      <c r="I9" s="1"/>
    </row>
    <row r="10" spans="1:9" x14ac:dyDescent="0.3">
      <c r="A10" s="1" t="s">
        <v>17</v>
      </c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 t="s">
        <v>18</v>
      </c>
      <c r="B11" s="1"/>
      <c r="C11" s="1"/>
      <c r="D11" s="1">
        <f>D5+D7</f>
        <v>156</v>
      </c>
      <c r="E11" s="1"/>
      <c r="F11" s="1"/>
      <c r="G11" s="1"/>
      <c r="H11" s="1"/>
      <c r="I11" s="1">
        <f>I5+I7</f>
        <v>156</v>
      </c>
    </row>
    <row r="13" spans="1:9" x14ac:dyDescent="0.3">
      <c r="A13" s="18" t="s">
        <v>20</v>
      </c>
      <c r="B13" s="18"/>
      <c r="C13" s="18"/>
      <c r="E13" s="18" t="s">
        <v>60</v>
      </c>
      <c r="F13" s="18"/>
      <c r="G13" s="18"/>
      <c r="H13" s="18"/>
      <c r="I13" s="18"/>
    </row>
    <row r="15" spans="1:9" x14ac:dyDescent="0.3">
      <c r="A15" s="17" t="s">
        <v>21</v>
      </c>
      <c r="B15" s="17"/>
      <c r="C15" s="17"/>
      <c r="D15" s="17"/>
    </row>
    <row r="16" spans="1:9" x14ac:dyDescent="0.3">
      <c r="A16" s="1" t="s">
        <v>18</v>
      </c>
      <c r="B16" s="1">
        <v>30</v>
      </c>
      <c r="C16" s="1">
        <v>60</v>
      </c>
      <c r="D16" s="1"/>
      <c r="E16" s="1"/>
      <c r="F16" s="1"/>
      <c r="G16" s="1"/>
      <c r="H16" s="1"/>
      <c r="I16" s="1">
        <v>90</v>
      </c>
    </row>
    <row r="17" spans="1:9" x14ac:dyDescent="0.3">
      <c r="A17" s="1" t="s">
        <v>22</v>
      </c>
      <c r="B17" s="1">
        <v>30</v>
      </c>
      <c r="C17" s="1">
        <v>60</v>
      </c>
      <c r="D17" s="1"/>
      <c r="E17" s="1"/>
      <c r="F17" s="1"/>
      <c r="G17" s="1"/>
      <c r="H17" s="1"/>
      <c r="I17" s="1">
        <v>45</v>
      </c>
    </row>
    <row r="18" spans="1:9" x14ac:dyDescent="0.3">
      <c r="A18" s="1" t="s">
        <v>23</v>
      </c>
      <c r="B18" s="1">
        <v>30</v>
      </c>
      <c r="C18" s="1">
        <v>60</v>
      </c>
      <c r="D18" s="1"/>
      <c r="E18" s="1"/>
      <c r="F18" s="1"/>
      <c r="G18" s="1"/>
      <c r="H18" s="1"/>
      <c r="I18" s="1">
        <v>60</v>
      </c>
    </row>
    <row r="19" spans="1:9" x14ac:dyDescent="0.3">
      <c r="A19" s="1" t="s">
        <v>24</v>
      </c>
      <c r="B19" s="1">
        <v>30</v>
      </c>
      <c r="C19" s="1">
        <v>60</v>
      </c>
      <c r="D19" s="1"/>
      <c r="E19" s="1"/>
      <c r="F19" s="1"/>
      <c r="G19" s="1"/>
      <c r="H19" s="1"/>
      <c r="I19" s="1">
        <v>30</v>
      </c>
    </row>
    <row r="21" spans="1:9" x14ac:dyDescent="0.3">
      <c r="A21" s="17" t="s">
        <v>25</v>
      </c>
      <c r="B21" s="17"/>
      <c r="C21" s="17"/>
      <c r="D21" s="17"/>
    </row>
    <row r="22" spans="1:9" x14ac:dyDescent="0.3">
      <c r="A22" s="1" t="s">
        <v>18</v>
      </c>
      <c r="B22" s="1">
        <v>30</v>
      </c>
      <c r="C22" s="1">
        <v>60</v>
      </c>
      <c r="D22" s="1">
        <f>D5+D7</f>
        <v>156</v>
      </c>
      <c r="E22" s="1"/>
      <c r="F22" s="1"/>
      <c r="G22" s="1"/>
      <c r="H22" s="1"/>
      <c r="I22" s="1">
        <f>B22+C22+D22</f>
        <v>246</v>
      </c>
    </row>
    <row r="23" spans="1:9" x14ac:dyDescent="0.3">
      <c r="A23" s="1" t="s">
        <v>22</v>
      </c>
      <c r="B23" s="1">
        <v>30</v>
      </c>
      <c r="C23" s="1">
        <v>60</v>
      </c>
      <c r="D23" s="1">
        <f>(D5+D7)/2</f>
        <v>78</v>
      </c>
      <c r="E23" s="1"/>
      <c r="F23" s="1"/>
      <c r="G23" s="1"/>
      <c r="H23" s="1"/>
      <c r="I23" s="1">
        <f>I22/3</f>
        <v>82</v>
      </c>
    </row>
    <row r="24" spans="1:9" x14ac:dyDescent="0.3">
      <c r="A24" s="1" t="s">
        <v>23</v>
      </c>
      <c r="B24" s="1">
        <v>30</v>
      </c>
      <c r="C24" s="1">
        <v>60</v>
      </c>
      <c r="D24" s="1">
        <v>86</v>
      </c>
      <c r="E24" s="1"/>
      <c r="F24" s="1"/>
      <c r="G24" s="1"/>
      <c r="H24" s="1"/>
      <c r="I24" s="1">
        <v>156</v>
      </c>
    </row>
    <row r="25" spans="1:9" x14ac:dyDescent="0.3">
      <c r="A25" s="1" t="s">
        <v>24</v>
      </c>
      <c r="B25" s="1">
        <v>30</v>
      </c>
      <c r="C25" s="1">
        <v>60</v>
      </c>
      <c r="D25" s="1">
        <v>70</v>
      </c>
      <c r="E25" s="1"/>
      <c r="F25" s="1"/>
      <c r="G25" s="1"/>
      <c r="H25" s="1"/>
      <c r="I25" s="1">
        <v>30</v>
      </c>
    </row>
  </sheetData>
  <mergeCells count="6">
    <mergeCell ref="A21:D21"/>
    <mergeCell ref="A1:D1"/>
    <mergeCell ref="G1:I1"/>
    <mergeCell ref="A13:C13"/>
    <mergeCell ref="E13:I13"/>
    <mergeCell ref="A15:D1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FAF1-1037-4A52-B15F-94882DEB8E66}">
  <dimension ref="A1:I25"/>
  <sheetViews>
    <sheetView showGridLines="0" workbookViewId="0">
      <selection activeCell="K15" sqref="K15"/>
    </sheetView>
  </sheetViews>
  <sheetFormatPr defaultRowHeight="14.4" x14ac:dyDescent="0.3"/>
  <cols>
    <col min="2" max="2" width="12.33203125" customWidth="1"/>
    <col min="6" max="6" width="9.88671875" customWidth="1"/>
  </cols>
  <sheetData>
    <row r="1" spans="1:9" x14ac:dyDescent="0.3">
      <c r="A1" s="18" t="s">
        <v>26</v>
      </c>
      <c r="B1" s="18"/>
      <c r="C1" s="18"/>
      <c r="D1" s="18"/>
      <c r="G1" s="18" t="s">
        <v>59</v>
      </c>
      <c r="H1" s="18"/>
      <c r="I1" s="18"/>
    </row>
    <row r="2" spans="1:9" x14ac:dyDescent="0.3">
      <c r="A2" s="15" t="s">
        <v>41</v>
      </c>
      <c r="B2" s="1" t="s">
        <v>11</v>
      </c>
      <c r="C2" s="4" t="s">
        <v>28</v>
      </c>
      <c r="D2" s="1" t="s">
        <v>44</v>
      </c>
      <c r="E2" s="1" t="s">
        <v>49</v>
      </c>
      <c r="F2" s="1" t="s">
        <v>54</v>
      </c>
      <c r="G2" s="4" t="s">
        <v>50</v>
      </c>
      <c r="H2" s="4"/>
      <c r="I2" s="4"/>
    </row>
    <row r="3" spans="1:9" x14ac:dyDescent="0.3">
      <c r="A3" s="1" t="s">
        <v>3</v>
      </c>
      <c r="B3" s="2"/>
      <c r="C3" s="1"/>
      <c r="D3" s="1"/>
      <c r="E3" s="1"/>
      <c r="F3" s="1"/>
      <c r="G3" s="1"/>
      <c r="H3" s="1"/>
      <c r="I3" s="1" t="s">
        <v>19</v>
      </c>
    </row>
    <row r="4" spans="1:9" x14ac:dyDescent="0.3">
      <c r="A4" s="1" t="s">
        <v>12</v>
      </c>
      <c r="B4" s="1"/>
      <c r="C4" s="1"/>
      <c r="D4" s="1"/>
      <c r="E4" s="1"/>
      <c r="F4" s="1"/>
      <c r="G4" s="1"/>
      <c r="H4" s="1"/>
      <c r="I4" s="1"/>
    </row>
    <row r="5" spans="1:9" x14ac:dyDescent="0.3">
      <c r="A5" s="1" t="s">
        <v>13</v>
      </c>
      <c r="B5" s="1"/>
      <c r="C5" s="1"/>
      <c r="D5" s="1">
        <v>30</v>
      </c>
      <c r="E5" s="1"/>
      <c r="F5" s="1"/>
      <c r="G5" s="1"/>
      <c r="H5" s="1"/>
      <c r="I5" s="1">
        <v>30</v>
      </c>
    </row>
    <row r="6" spans="1:9" x14ac:dyDescent="0.3">
      <c r="A6" s="1" t="s">
        <v>14</v>
      </c>
      <c r="B6" s="1">
        <v>30</v>
      </c>
      <c r="C6" s="1"/>
      <c r="D6" s="1"/>
      <c r="E6" s="1"/>
      <c r="F6" s="1"/>
      <c r="G6" s="1">
        <v>60</v>
      </c>
      <c r="H6" s="1"/>
      <c r="I6" s="1">
        <v>90</v>
      </c>
    </row>
    <row r="7" spans="1:9" x14ac:dyDescent="0.3">
      <c r="A7" s="1" t="s">
        <v>14</v>
      </c>
      <c r="B7" s="1"/>
      <c r="C7" s="1"/>
      <c r="D7" s="1"/>
      <c r="E7" s="1">
        <v>60</v>
      </c>
      <c r="F7" s="1"/>
      <c r="G7" s="1"/>
      <c r="H7" s="1"/>
      <c r="I7" s="1">
        <v>60</v>
      </c>
    </row>
    <row r="8" spans="1:9" x14ac:dyDescent="0.3">
      <c r="A8" s="1" t="s">
        <v>15</v>
      </c>
      <c r="B8" s="1"/>
      <c r="C8" s="1"/>
      <c r="D8" s="1"/>
      <c r="E8" s="1"/>
      <c r="F8" s="1"/>
      <c r="G8" s="1"/>
      <c r="H8" s="1"/>
      <c r="I8" s="1"/>
    </row>
    <row r="9" spans="1:9" x14ac:dyDescent="0.3">
      <c r="A9" s="1" t="s">
        <v>16</v>
      </c>
      <c r="B9" s="1"/>
      <c r="C9" s="1"/>
      <c r="D9" s="1"/>
      <c r="E9" s="1"/>
      <c r="F9" s="1"/>
      <c r="G9" s="1"/>
      <c r="H9" s="1"/>
      <c r="I9" s="1"/>
    </row>
    <row r="10" spans="1:9" x14ac:dyDescent="0.3">
      <c r="A10" s="1" t="s">
        <v>17</v>
      </c>
      <c r="B10" s="1"/>
      <c r="C10" s="1"/>
      <c r="D10" s="1"/>
      <c r="E10" s="1">
        <v>225</v>
      </c>
      <c r="F10" s="1"/>
      <c r="G10" s="1"/>
      <c r="H10" s="1"/>
      <c r="I10" s="1">
        <v>225</v>
      </c>
    </row>
    <row r="11" spans="1:9" x14ac:dyDescent="0.3">
      <c r="A11" s="1" t="s">
        <v>18</v>
      </c>
      <c r="B11" s="1">
        <v>30</v>
      </c>
      <c r="C11" s="1"/>
      <c r="D11" s="1">
        <v>30</v>
      </c>
      <c r="E11" s="1">
        <f>E10+E7</f>
        <v>285</v>
      </c>
      <c r="F11" s="1"/>
      <c r="G11" s="1">
        <v>60</v>
      </c>
      <c r="H11" s="1"/>
      <c r="I11" s="1">
        <f>H11+E11+D11+B11+G11</f>
        <v>405</v>
      </c>
    </row>
    <row r="13" spans="1:9" x14ac:dyDescent="0.3">
      <c r="A13" s="18" t="s">
        <v>20</v>
      </c>
      <c r="B13" s="18"/>
      <c r="C13" s="18"/>
      <c r="E13" s="18" t="s">
        <v>61</v>
      </c>
      <c r="F13" s="18"/>
      <c r="G13" s="18"/>
      <c r="H13" s="18"/>
      <c r="I13" s="18"/>
    </row>
    <row r="15" spans="1:9" x14ac:dyDescent="0.3">
      <c r="A15" s="17" t="s">
        <v>21</v>
      </c>
      <c r="B15" s="17"/>
      <c r="C15" s="17"/>
      <c r="D15" s="17"/>
    </row>
    <row r="16" spans="1:9" x14ac:dyDescent="0.3">
      <c r="A16" s="1" t="s">
        <v>18</v>
      </c>
      <c r="B16" s="1">
        <v>30</v>
      </c>
      <c r="C16" s="1">
        <v>60</v>
      </c>
      <c r="D16" s="1">
        <v>156</v>
      </c>
      <c r="E16" s="1"/>
      <c r="F16" s="1"/>
      <c r="G16" s="1"/>
      <c r="H16" s="1"/>
      <c r="I16" s="1">
        <v>246</v>
      </c>
    </row>
    <row r="17" spans="1:9" x14ac:dyDescent="0.3">
      <c r="A17" s="1" t="s">
        <v>22</v>
      </c>
      <c r="B17" s="1">
        <v>30</v>
      </c>
      <c r="C17" s="1">
        <v>60</v>
      </c>
      <c r="D17" s="1">
        <v>78</v>
      </c>
      <c r="E17" s="1"/>
      <c r="F17" s="1"/>
      <c r="G17" s="1"/>
      <c r="H17" s="1"/>
      <c r="I17" s="1">
        <v>82</v>
      </c>
    </row>
    <row r="18" spans="1:9" x14ac:dyDescent="0.3">
      <c r="A18" s="1" t="s">
        <v>23</v>
      </c>
      <c r="B18" s="1">
        <v>30</v>
      </c>
      <c r="C18" s="1">
        <v>60</v>
      </c>
      <c r="D18" s="1">
        <v>86</v>
      </c>
      <c r="E18" s="1"/>
      <c r="F18" s="1"/>
      <c r="G18" s="1"/>
      <c r="H18" s="1"/>
      <c r="I18" s="1">
        <v>156</v>
      </c>
    </row>
    <row r="19" spans="1:9" x14ac:dyDescent="0.3">
      <c r="A19" s="1" t="s">
        <v>24</v>
      </c>
      <c r="B19" s="1">
        <v>30</v>
      </c>
      <c r="C19" s="1">
        <v>60</v>
      </c>
      <c r="D19" s="1">
        <v>70</v>
      </c>
      <c r="E19" s="1"/>
      <c r="F19" s="1"/>
      <c r="G19" s="1"/>
      <c r="H19" s="1"/>
      <c r="I19" s="1">
        <v>30</v>
      </c>
    </row>
    <row r="21" spans="1:9" x14ac:dyDescent="0.3">
      <c r="A21" s="17" t="s">
        <v>25</v>
      </c>
      <c r="B21" s="17"/>
      <c r="C21" s="17"/>
      <c r="D21" s="17"/>
    </row>
    <row r="22" spans="1:9" x14ac:dyDescent="0.3">
      <c r="A22" s="1" t="s">
        <v>18</v>
      </c>
      <c r="B22" s="1">
        <v>60</v>
      </c>
      <c r="C22" s="1">
        <v>60</v>
      </c>
      <c r="D22" s="1">
        <f>D16+D11</f>
        <v>186</v>
      </c>
      <c r="E22" s="1">
        <v>285</v>
      </c>
      <c r="F22" s="1"/>
      <c r="G22" s="1">
        <v>60</v>
      </c>
      <c r="H22" s="1"/>
      <c r="I22" s="1">
        <f>I16+I11</f>
        <v>651</v>
      </c>
    </row>
    <row r="23" spans="1:9" x14ac:dyDescent="0.3">
      <c r="A23" s="1" t="s">
        <v>22</v>
      </c>
      <c r="B23" s="1">
        <v>30</v>
      </c>
      <c r="C23" s="1">
        <v>60</v>
      </c>
      <c r="D23" s="1">
        <f>D22/3</f>
        <v>62</v>
      </c>
      <c r="E23" s="1">
        <f>E22/2</f>
        <v>142.5</v>
      </c>
      <c r="F23" s="1"/>
      <c r="G23" s="1">
        <v>60</v>
      </c>
      <c r="H23" s="1"/>
      <c r="I23" s="1">
        <f>I22/4</f>
        <v>162.75</v>
      </c>
    </row>
    <row r="24" spans="1:9" x14ac:dyDescent="0.3">
      <c r="A24" s="1" t="s">
        <v>23</v>
      </c>
      <c r="B24" s="1">
        <v>30</v>
      </c>
      <c r="C24" s="1">
        <v>60</v>
      </c>
      <c r="D24" s="1">
        <v>86</v>
      </c>
      <c r="E24" s="1">
        <v>225</v>
      </c>
      <c r="F24" s="1"/>
      <c r="G24" s="1">
        <v>60</v>
      </c>
      <c r="H24" s="1"/>
      <c r="I24" s="1">
        <v>405</v>
      </c>
    </row>
    <row r="25" spans="1:9" x14ac:dyDescent="0.3">
      <c r="A25" s="1" t="s">
        <v>24</v>
      </c>
      <c r="B25" s="1">
        <v>30</v>
      </c>
      <c r="C25" s="1">
        <v>60</v>
      </c>
      <c r="D25" s="1">
        <v>30</v>
      </c>
      <c r="E25" s="1">
        <v>60</v>
      </c>
      <c r="F25" s="1"/>
      <c r="G25" s="1">
        <v>60</v>
      </c>
      <c r="H25" s="1"/>
      <c r="I25" s="1">
        <v>30</v>
      </c>
    </row>
  </sheetData>
  <mergeCells count="6">
    <mergeCell ref="A21:D21"/>
    <mergeCell ref="A1:D1"/>
    <mergeCell ref="G1:I1"/>
    <mergeCell ref="A13:C13"/>
    <mergeCell ref="E13:I13"/>
    <mergeCell ref="A15:D1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E57F-FC0C-4B35-85B5-AC415256F87E}">
  <dimension ref="A1:I25"/>
  <sheetViews>
    <sheetView showGridLines="0" workbookViewId="0">
      <selection activeCell="I22" sqref="I22"/>
    </sheetView>
  </sheetViews>
  <sheetFormatPr defaultRowHeight="14.4" x14ac:dyDescent="0.3"/>
  <cols>
    <col min="2" max="2" width="12.33203125" customWidth="1"/>
    <col min="6" max="6" width="10" customWidth="1"/>
  </cols>
  <sheetData>
    <row r="1" spans="1:9" x14ac:dyDescent="0.3">
      <c r="A1" s="18" t="s">
        <v>26</v>
      </c>
      <c r="B1" s="18"/>
      <c r="C1" s="18"/>
      <c r="D1" s="18"/>
      <c r="G1" s="18" t="s">
        <v>63</v>
      </c>
      <c r="H1" s="18"/>
      <c r="I1" s="18"/>
    </row>
    <row r="2" spans="1:9" x14ac:dyDescent="0.3">
      <c r="A2" s="15" t="s">
        <v>41</v>
      </c>
      <c r="B2" s="1" t="s">
        <v>11</v>
      </c>
      <c r="C2" s="4" t="s">
        <v>28</v>
      </c>
      <c r="D2" s="1" t="s">
        <v>44</v>
      </c>
      <c r="E2" s="1" t="s">
        <v>49</v>
      </c>
      <c r="F2" s="1" t="s">
        <v>54</v>
      </c>
      <c r="G2" s="4" t="s">
        <v>50</v>
      </c>
      <c r="H2" s="4"/>
      <c r="I2" s="4"/>
    </row>
    <row r="3" spans="1:9" x14ac:dyDescent="0.3">
      <c r="A3" s="1" t="s">
        <v>3</v>
      </c>
      <c r="B3" s="2"/>
      <c r="C3" s="1"/>
      <c r="D3" s="1"/>
      <c r="E3" s="1"/>
      <c r="F3" s="1"/>
      <c r="G3" s="1"/>
      <c r="H3" s="1"/>
      <c r="I3" s="1" t="s">
        <v>19</v>
      </c>
    </row>
    <row r="4" spans="1:9" x14ac:dyDescent="0.3">
      <c r="A4" s="1" t="s">
        <v>12</v>
      </c>
      <c r="B4" s="1"/>
      <c r="C4" s="1"/>
      <c r="D4" s="1"/>
      <c r="E4" s="1"/>
      <c r="F4" s="1"/>
      <c r="G4" s="1"/>
      <c r="H4" s="1"/>
      <c r="I4" s="1"/>
    </row>
    <row r="5" spans="1:9" x14ac:dyDescent="0.3">
      <c r="A5" s="1" t="s">
        <v>13</v>
      </c>
      <c r="B5" s="1"/>
      <c r="C5" s="1"/>
      <c r="D5" s="1"/>
      <c r="E5" s="1">
        <v>550</v>
      </c>
      <c r="F5" s="1"/>
      <c r="G5" s="1"/>
      <c r="H5" s="1"/>
      <c r="I5" s="1">
        <v>550</v>
      </c>
    </row>
    <row r="6" spans="1:9" x14ac:dyDescent="0.3">
      <c r="A6" s="1" t="s">
        <v>14</v>
      </c>
      <c r="B6" s="1"/>
      <c r="C6" s="1"/>
      <c r="D6" s="1"/>
      <c r="E6" s="1">
        <v>310</v>
      </c>
      <c r="F6" s="1">
        <v>190</v>
      </c>
      <c r="G6" s="1"/>
      <c r="H6" s="1"/>
      <c r="I6" s="1">
        <f>E6+F6</f>
        <v>500</v>
      </c>
    </row>
    <row r="7" spans="1:9" x14ac:dyDescent="0.3">
      <c r="A7" s="1" t="s">
        <v>14</v>
      </c>
      <c r="B7" s="1"/>
      <c r="C7" s="1"/>
      <c r="D7" s="1"/>
      <c r="E7" s="1">
        <v>120</v>
      </c>
      <c r="F7" s="1"/>
      <c r="G7" s="1"/>
      <c r="H7" s="1"/>
      <c r="I7" s="1">
        <v>120</v>
      </c>
    </row>
    <row r="8" spans="1:9" x14ac:dyDescent="0.3">
      <c r="A8" s="1" t="s">
        <v>15</v>
      </c>
      <c r="B8" s="1"/>
      <c r="C8" s="1"/>
      <c r="D8" s="1"/>
      <c r="E8" s="1"/>
      <c r="F8" s="1"/>
      <c r="G8" s="1"/>
      <c r="H8" s="1"/>
      <c r="I8" s="1"/>
    </row>
    <row r="9" spans="1:9" x14ac:dyDescent="0.3">
      <c r="A9" s="1" t="s">
        <v>16</v>
      </c>
      <c r="B9" s="1"/>
      <c r="C9" s="1"/>
      <c r="D9" s="1"/>
      <c r="E9" s="1"/>
      <c r="F9" s="1"/>
      <c r="G9" s="1"/>
      <c r="H9" s="1"/>
      <c r="I9" s="1"/>
    </row>
    <row r="10" spans="1:9" x14ac:dyDescent="0.3">
      <c r="A10" s="1" t="s">
        <v>17</v>
      </c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 t="s">
        <v>18</v>
      </c>
      <c r="B11" s="1"/>
      <c r="C11" s="1"/>
      <c r="D11" s="1"/>
      <c r="E11" s="1">
        <f>E7+E6+E5</f>
        <v>980</v>
      </c>
      <c r="F11" s="1">
        <v>190</v>
      </c>
      <c r="G11" s="1"/>
      <c r="H11" s="1"/>
      <c r="I11" s="1">
        <f>F11+E11</f>
        <v>1170</v>
      </c>
    </row>
    <row r="13" spans="1:9" x14ac:dyDescent="0.3">
      <c r="A13" s="18" t="s">
        <v>20</v>
      </c>
      <c r="B13" s="18"/>
      <c r="C13" s="18"/>
      <c r="E13" s="18" t="s">
        <v>62</v>
      </c>
      <c r="F13" s="18"/>
      <c r="G13" s="18"/>
      <c r="H13" s="18"/>
      <c r="I13" s="18"/>
    </row>
    <row r="15" spans="1:9" x14ac:dyDescent="0.3">
      <c r="A15" s="17" t="s">
        <v>21</v>
      </c>
      <c r="B15" s="17"/>
      <c r="C15" s="17"/>
      <c r="D15" s="17"/>
    </row>
    <row r="16" spans="1:9" x14ac:dyDescent="0.3">
      <c r="A16" s="1" t="s">
        <v>18</v>
      </c>
      <c r="B16" s="1">
        <v>60</v>
      </c>
      <c r="C16" s="1">
        <v>60</v>
      </c>
      <c r="D16" s="1">
        <v>186</v>
      </c>
      <c r="E16" s="1">
        <v>285</v>
      </c>
      <c r="F16" s="1"/>
      <c r="G16" s="1">
        <v>60</v>
      </c>
      <c r="H16" s="1"/>
      <c r="I16" s="1">
        <v>651</v>
      </c>
    </row>
    <row r="17" spans="1:9" x14ac:dyDescent="0.3">
      <c r="A17" s="1" t="s">
        <v>22</v>
      </c>
      <c r="B17" s="1">
        <v>30</v>
      </c>
      <c r="C17" s="1">
        <v>60</v>
      </c>
      <c r="D17" s="1">
        <v>62</v>
      </c>
      <c r="E17" s="1">
        <v>142.5</v>
      </c>
      <c r="F17" s="1"/>
      <c r="G17" s="1">
        <v>60</v>
      </c>
      <c r="H17" s="1"/>
      <c r="I17" s="1">
        <v>162.75</v>
      </c>
    </row>
    <row r="18" spans="1:9" x14ac:dyDescent="0.3">
      <c r="A18" s="1" t="s">
        <v>23</v>
      </c>
      <c r="B18" s="1">
        <v>30</v>
      </c>
      <c r="C18" s="1">
        <v>60</v>
      </c>
      <c r="D18" s="1">
        <v>86</v>
      </c>
      <c r="E18" s="1">
        <v>225</v>
      </c>
      <c r="F18" s="1"/>
      <c r="G18" s="1">
        <v>60</v>
      </c>
      <c r="H18" s="1"/>
      <c r="I18" s="1">
        <v>405</v>
      </c>
    </row>
    <row r="19" spans="1:9" x14ac:dyDescent="0.3">
      <c r="A19" s="1" t="s">
        <v>24</v>
      </c>
      <c r="B19" s="1">
        <v>30</v>
      </c>
      <c r="C19" s="1">
        <v>60</v>
      </c>
      <c r="D19" s="1">
        <v>30</v>
      </c>
      <c r="E19" s="1">
        <v>60</v>
      </c>
      <c r="F19" s="1"/>
      <c r="G19" s="1">
        <v>60</v>
      </c>
      <c r="H19" s="1"/>
      <c r="I19" s="1">
        <v>30</v>
      </c>
    </row>
    <row r="21" spans="1:9" x14ac:dyDescent="0.3">
      <c r="A21" s="17" t="s">
        <v>25</v>
      </c>
      <c r="B21" s="17"/>
      <c r="C21" s="17"/>
      <c r="D21" s="17"/>
    </row>
    <row r="22" spans="1:9" x14ac:dyDescent="0.3">
      <c r="A22" s="1" t="s">
        <v>18</v>
      </c>
      <c r="B22" s="1">
        <v>60</v>
      </c>
      <c r="C22" s="1">
        <v>60</v>
      </c>
      <c r="D22" s="1">
        <v>186</v>
      </c>
      <c r="E22" s="1">
        <f>E16+E11</f>
        <v>1265</v>
      </c>
      <c r="F22" s="1">
        <v>190</v>
      </c>
      <c r="G22" s="1">
        <v>60</v>
      </c>
      <c r="H22" s="1"/>
      <c r="I22" s="1">
        <f>I11+I16</f>
        <v>1821</v>
      </c>
    </row>
    <row r="23" spans="1:9" x14ac:dyDescent="0.3">
      <c r="A23" s="1" t="s">
        <v>22</v>
      </c>
      <c r="B23" s="1">
        <v>30</v>
      </c>
      <c r="C23" s="1">
        <v>60</v>
      </c>
      <c r="D23" s="1">
        <v>62</v>
      </c>
      <c r="E23" s="1">
        <f>E22/5</f>
        <v>253</v>
      </c>
      <c r="F23" s="1">
        <v>190</v>
      </c>
      <c r="G23" s="1">
        <v>60</v>
      </c>
      <c r="H23" s="1"/>
      <c r="I23" s="1">
        <f>I22/5</f>
        <v>364.2</v>
      </c>
    </row>
    <row r="24" spans="1:9" x14ac:dyDescent="0.3">
      <c r="A24" s="1" t="s">
        <v>23</v>
      </c>
      <c r="B24" s="1">
        <v>30</v>
      </c>
      <c r="C24" s="1">
        <v>60</v>
      </c>
      <c r="D24" s="1">
        <v>86</v>
      </c>
      <c r="E24" s="1">
        <v>550</v>
      </c>
      <c r="F24" s="1">
        <v>190</v>
      </c>
      <c r="G24" s="1">
        <v>60</v>
      </c>
      <c r="H24" s="1"/>
      <c r="I24" s="1">
        <v>1170</v>
      </c>
    </row>
    <row r="25" spans="1:9" x14ac:dyDescent="0.3">
      <c r="A25" s="1" t="s">
        <v>24</v>
      </c>
      <c r="B25" s="1">
        <v>30</v>
      </c>
      <c r="C25" s="1">
        <v>60</v>
      </c>
      <c r="D25" s="1">
        <v>30</v>
      </c>
      <c r="E25" s="1">
        <v>60</v>
      </c>
      <c r="F25" s="1">
        <v>190</v>
      </c>
      <c r="G25" s="1">
        <v>60</v>
      </c>
      <c r="H25" s="1"/>
      <c r="I25" s="1">
        <v>30</v>
      </c>
    </row>
  </sheetData>
  <mergeCells count="6">
    <mergeCell ref="A21:D21"/>
    <mergeCell ref="A1:D1"/>
    <mergeCell ref="G1:I1"/>
    <mergeCell ref="A13:C13"/>
    <mergeCell ref="E13:I13"/>
    <mergeCell ref="A15:D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991DD22A674E4289B6D49668754471" ma:contentTypeVersion="13" ma:contentTypeDescription="Create a new document." ma:contentTypeScope="" ma:versionID="a5657d3d79920665bd27b070e8c09c67">
  <xsd:schema xmlns:xsd="http://www.w3.org/2001/XMLSchema" xmlns:xs="http://www.w3.org/2001/XMLSchema" xmlns:p="http://schemas.microsoft.com/office/2006/metadata/properties" xmlns:ns3="89fa5a28-2927-4133-98de-35c915d0ec2e" targetNamespace="http://schemas.microsoft.com/office/2006/metadata/properties" ma:root="true" ma:fieldsID="f168e046167dddd8ab5d6f4e6589c5eb" ns3:_="">
    <xsd:import namespace="89fa5a28-2927-4133-98de-35c915d0ec2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a5a28-2927-4133-98de-35c915d0ec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4E7623-F9CE-4024-BD73-C6D0B89FDCEB}">
  <ds:schemaRefs>
    <ds:schemaRef ds:uri="http://purl.org/dc/dcmitype/"/>
    <ds:schemaRef ds:uri="89fa5a28-2927-4133-98de-35c915d0ec2e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E27DF74-3977-4026-94CC-EDCCFFFB69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CA2469-B2DF-4F11-9226-0A04D67A3A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a5a28-2927-4133-98de-35c915d0ec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Portada</vt:lpstr>
      <vt:lpstr>Control de las interrupcione</vt:lpstr>
      <vt:lpstr>Resumen Semana 1</vt:lpstr>
      <vt:lpstr>Resumen Semana 2</vt:lpstr>
      <vt:lpstr>Resumen Semana 3</vt:lpstr>
      <vt:lpstr>Resumen Semana 4</vt:lpstr>
      <vt:lpstr>Resumen Semana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TORRES, EDGAR RAYMUNDO</dc:creator>
  <cp:lastModifiedBy>GONZALEZ TORRES, EDGAR RAYMUNDO</cp:lastModifiedBy>
  <dcterms:created xsi:type="dcterms:W3CDTF">2026-04-22T23:38:08Z</dcterms:created>
  <dcterms:modified xsi:type="dcterms:W3CDTF">2026-05-17T17:58:15Z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0x01010045991DD22A674E4289B6D49668754471</vt:lpwstr>
  </property>
</Properties>
</file>