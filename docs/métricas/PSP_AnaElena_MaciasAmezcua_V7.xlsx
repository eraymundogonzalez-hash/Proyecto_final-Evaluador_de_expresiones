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aelenamaciasamezcua/Desktop/"/>
    </mc:Choice>
  </mc:AlternateContent>
  <xr:revisionPtr revIDLastSave="0" documentId="13_ncr:1_{8BFB3169-60F1-DE48-B0E4-7168BC39D41C}" xr6:coauthVersionLast="47" xr6:coauthVersionMax="47" xr10:uidLastSave="{00000000-0000-0000-0000-000000000000}"/>
  <bookViews>
    <workbookView xWindow="0" yWindow="680" windowWidth="23900" windowHeight="17740" tabRatio="500" xr2:uid="{00000000-000D-0000-FFFF-FFFF00000000}"/>
  </bookViews>
  <sheets>
    <sheet name="Portada" sheetId="1" r:id="rId1"/>
    <sheet name="Índice" sheetId="2" r:id="rId2"/>
    <sheet name="Control de interrupciones" sheetId="3" r:id="rId3"/>
    <sheet name="Resumen Semanal de Actividades" sheetId="4" r:id="rId4"/>
    <sheet name="Resumen por Semana" sheetId="5" r:id="rId5"/>
    <sheet name="Resumen Sem 2" sheetId="7" r:id="rId6"/>
    <sheet name="Resumen Sem 3" sheetId="8" r:id="rId7"/>
    <sheet name="Resumen Sem 4" sheetId="9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6" i="9" l="1"/>
  <c r="J26" i="9"/>
  <c r="I26" i="9"/>
  <c r="H26" i="9"/>
  <c r="G26" i="9"/>
  <c r="F26" i="9"/>
  <c r="E26" i="9"/>
  <c r="D26" i="9"/>
  <c r="C26" i="9"/>
  <c r="J25" i="9"/>
  <c r="I25" i="9"/>
  <c r="H25" i="9"/>
  <c r="G25" i="9"/>
  <c r="F25" i="9"/>
  <c r="E25" i="9"/>
  <c r="D25" i="9"/>
  <c r="C25" i="9"/>
  <c r="F24" i="9"/>
  <c r="E24" i="9"/>
  <c r="D24" i="9"/>
  <c r="F23" i="9"/>
  <c r="E23" i="9"/>
  <c r="D23" i="9"/>
  <c r="C23" i="9"/>
  <c r="C24" i="9" s="1"/>
  <c r="J21" i="9"/>
  <c r="I21" i="9"/>
  <c r="H21" i="9"/>
  <c r="G21" i="9"/>
  <c r="F21" i="9"/>
  <c r="E21" i="9"/>
  <c r="D21" i="9"/>
  <c r="C21" i="9"/>
  <c r="J20" i="9"/>
  <c r="I20" i="9"/>
  <c r="H20" i="9"/>
  <c r="G20" i="9"/>
  <c r="F20" i="9"/>
  <c r="E20" i="9"/>
  <c r="D20" i="9"/>
  <c r="C20" i="9"/>
  <c r="J19" i="9"/>
  <c r="I19" i="9"/>
  <c r="H19" i="9"/>
  <c r="G19" i="9"/>
  <c r="F19" i="9"/>
  <c r="E19" i="9"/>
  <c r="D19" i="9"/>
  <c r="C19" i="9"/>
  <c r="J15" i="9"/>
  <c r="J23" i="9" s="1"/>
  <c r="J24" i="9" s="1"/>
  <c r="I15" i="9"/>
  <c r="I14" i="5" s="1"/>
  <c r="H15" i="9"/>
  <c r="H23" i="9" s="1"/>
  <c r="H24" i="9" s="1"/>
  <c r="G15" i="9"/>
  <c r="G14" i="5" s="1"/>
  <c r="F15" i="9"/>
  <c r="E15" i="9"/>
  <c r="D15" i="9"/>
  <c r="C15" i="9"/>
  <c r="K14" i="9"/>
  <c r="K13" i="9"/>
  <c r="K12" i="9"/>
  <c r="K11" i="9"/>
  <c r="K20" i="9" s="1"/>
  <c r="K10" i="9"/>
  <c r="K9" i="9"/>
  <c r="K15" i="9" s="1"/>
  <c r="K8" i="9"/>
  <c r="K26" i="8"/>
  <c r="J26" i="8"/>
  <c r="I26" i="8"/>
  <c r="H26" i="8"/>
  <c r="G26" i="8"/>
  <c r="F26" i="8"/>
  <c r="E26" i="8"/>
  <c r="D26" i="8"/>
  <c r="C26" i="8"/>
  <c r="J25" i="8"/>
  <c r="I25" i="8"/>
  <c r="H25" i="8"/>
  <c r="G25" i="8"/>
  <c r="F25" i="8"/>
  <c r="E25" i="8"/>
  <c r="D25" i="8"/>
  <c r="C25" i="8"/>
  <c r="E24" i="8"/>
  <c r="D24" i="8"/>
  <c r="C24" i="8"/>
  <c r="J23" i="8"/>
  <c r="J24" i="8" s="1"/>
  <c r="E23" i="8"/>
  <c r="D23" i="8"/>
  <c r="C23" i="8"/>
  <c r="J21" i="8"/>
  <c r="I21" i="8"/>
  <c r="H21" i="8"/>
  <c r="G21" i="8"/>
  <c r="F21" i="8"/>
  <c r="E21" i="8"/>
  <c r="D21" i="8"/>
  <c r="C21" i="8"/>
  <c r="J20" i="8"/>
  <c r="I20" i="8"/>
  <c r="H20" i="8"/>
  <c r="G20" i="8"/>
  <c r="F20" i="8"/>
  <c r="E20" i="8"/>
  <c r="D20" i="8"/>
  <c r="C20" i="8"/>
  <c r="J19" i="8"/>
  <c r="I19" i="8"/>
  <c r="H19" i="8"/>
  <c r="G19" i="8"/>
  <c r="F19" i="8"/>
  <c r="E19" i="8"/>
  <c r="D19" i="8"/>
  <c r="C19" i="8"/>
  <c r="J15" i="8"/>
  <c r="I15" i="8"/>
  <c r="I23" i="8" s="1"/>
  <c r="I24" i="8" s="1"/>
  <c r="H15" i="8"/>
  <c r="H12" i="5" s="1"/>
  <c r="G15" i="8"/>
  <c r="G23" i="8" s="1"/>
  <c r="G24" i="8" s="1"/>
  <c r="F15" i="8"/>
  <c r="F23" i="8" s="1"/>
  <c r="F24" i="8" s="1"/>
  <c r="E15" i="8"/>
  <c r="D15" i="8"/>
  <c r="C15" i="8"/>
  <c r="K14" i="8"/>
  <c r="K13" i="8"/>
  <c r="K12" i="8"/>
  <c r="K11" i="8"/>
  <c r="K10" i="8"/>
  <c r="K21" i="8" s="1"/>
  <c r="K9" i="8"/>
  <c r="K8" i="8"/>
  <c r="K15" i="8" s="1"/>
  <c r="K26" i="7"/>
  <c r="J26" i="7"/>
  <c r="I26" i="7"/>
  <c r="H26" i="7"/>
  <c r="G26" i="7"/>
  <c r="F26" i="7"/>
  <c r="E26" i="7"/>
  <c r="D26" i="7"/>
  <c r="C26" i="7"/>
  <c r="J25" i="7"/>
  <c r="I25" i="7"/>
  <c r="H25" i="7"/>
  <c r="G25" i="7"/>
  <c r="F25" i="7"/>
  <c r="E25" i="7"/>
  <c r="D25" i="7"/>
  <c r="C25" i="7"/>
  <c r="J24" i="7"/>
  <c r="D24" i="7"/>
  <c r="C24" i="7"/>
  <c r="J23" i="7"/>
  <c r="I23" i="7"/>
  <c r="I24" i="7" s="1"/>
  <c r="D23" i="7"/>
  <c r="C23" i="7"/>
  <c r="J21" i="7"/>
  <c r="I21" i="7"/>
  <c r="H21" i="7"/>
  <c r="G21" i="7"/>
  <c r="F21" i="7"/>
  <c r="E21" i="7"/>
  <c r="D21" i="7"/>
  <c r="C21" i="7"/>
  <c r="J20" i="7"/>
  <c r="I20" i="7"/>
  <c r="H20" i="7"/>
  <c r="G20" i="7"/>
  <c r="F20" i="7"/>
  <c r="E20" i="7"/>
  <c r="D20" i="7"/>
  <c r="C20" i="7"/>
  <c r="J19" i="7"/>
  <c r="I19" i="7"/>
  <c r="H19" i="7"/>
  <c r="G19" i="7"/>
  <c r="F19" i="7"/>
  <c r="E19" i="7"/>
  <c r="D19" i="7"/>
  <c r="C19" i="7"/>
  <c r="J15" i="7"/>
  <c r="I15" i="7"/>
  <c r="H15" i="7"/>
  <c r="H23" i="7" s="1"/>
  <c r="H24" i="7" s="1"/>
  <c r="G15" i="7"/>
  <c r="G10" i="5" s="1"/>
  <c r="F15" i="7"/>
  <c r="F23" i="7" s="1"/>
  <c r="F24" i="7" s="1"/>
  <c r="E15" i="7"/>
  <c r="E23" i="7" s="1"/>
  <c r="E24" i="7" s="1"/>
  <c r="D15" i="7"/>
  <c r="C15" i="7"/>
  <c r="C10" i="5" s="1"/>
  <c r="K14" i="7"/>
  <c r="K13" i="7"/>
  <c r="K12" i="7"/>
  <c r="K11" i="7"/>
  <c r="K10" i="7"/>
  <c r="K9" i="7"/>
  <c r="K21" i="7" s="1"/>
  <c r="K8" i="7"/>
  <c r="K15" i="7" s="1"/>
  <c r="J14" i="5"/>
  <c r="F14" i="5"/>
  <c r="E14" i="5"/>
  <c r="D14" i="5"/>
  <c r="C14" i="5"/>
  <c r="J12" i="5"/>
  <c r="I12" i="5"/>
  <c r="E12" i="5"/>
  <c r="D12" i="5"/>
  <c r="C12" i="5"/>
  <c r="J10" i="5"/>
  <c r="I10" i="5"/>
  <c r="H10" i="5"/>
  <c r="F10" i="5"/>
  <c r="D10" i="5"/>
  <c r="G9" i="5"/>
  <c r="E9" i="5"/>
  <c r="G8" i="5"/>
  <c r="F8" i="5"/>
  <c r="E8" i="5"/>
  <c r="D8" i="5"/>
  <c r="C8" i="5"/>
  <c r="C9" i="5" s="1"/>
  <c r="K26" i="4"/>
  <c r="J26" i="4"/>
  <c r="I26" i="4"/>
  <c r="H26" i="4"/>
  <c r="G26" i="4"/>
  <c r="F26" i="4"/>
  <c r="E26" i="4"/>
  <c r="D26" i="4"/>
  <c r="C26" i="4"/>
  <c r="J25" i="4"/>
  <c r="I25" i="4"/>
  <c r="H25" i="4"/>
  <c r="G25" i="4"/>
  <c r="F25" i="4"/>
  <c r="E25" i="4"/>
  <c r="D25" i="4"/>
  <c r="C25" i="4"/>
  <c r="D24" i="4"/>
  <c r="C24" i="4"/>
  <c r="J23" i="4"/>
  <c r="J24" i="4" s="1"/>
  <c r="D23" i="4"/>
  <c r="C23" i="4"/>
  <c r="J21" i="4"/>
  <c r="I21" i="4"/>
  <c r="H21" i="4"/>
  <c r="G21" i="4"/>
  <c r="F21" i="4"/>
  <c r="E21" i="4"/>
  <c r="D21" i="4"/>
  <c r="C21" i="4"/>
  <c r="J20" i="4"/>
  <c r="I20" i="4"/>
  <c r="H20" i="4"/>
  <c r="G20" i="4"/>
  <c r="F20" i="4"/>
  <c r="E20" i="4"/>
  <c r="D20" i="4"/>
  <c r="C20" i="4"/>
  <c r="J19" i="4"/>
  <c r="I19" i="4"/>
  <c r="H19" i="4"/>
  <c r="G19" i="4"/>
  <c r="F19" i="4"/>
  <c r="E19" i="4"/>
  <c r="D19" i="4"/>
  <c r="C19" i="4"/>
  <c r="J15" i="4"/>
  <c r="J8" i="5" s="1"/>
  <c r="I15" i="4"/>
  <c r="I8" i="5" s="1"/>
  <c r="H15" i="4"/>
  <c r="H8" i="5" s="1"/>
  <c r="G15" i="4"/>
  <c r="G23" i="4" s="1"/>
  <c r="G24" i="4" s="1"/>
  <c r="F15" i="4"/>
  <c r="F23" i="4" s="1"/>
  <c r="F24" i="4" s="1"/>
  <c r="E15" i="4"/>
  <c r="E23" i="4" s="1"/>
  <c r="E24" i="4" s="1"/>
  <c r="D15" i="4"/>
  <c r="C15" i="4"/>
  <c r="K14" i="4"/>
  <c r="K13" i="4"/>
  <c r="K12" i="4"/>
  <c r="K11" i="4"/>
  <c r="K10" i="4"/>
  <c r="K20" i="4" s="1"/>
  <c r="K9" i="4"/>
  <c r="K8" i="4"/>
  <c r="K25" i="4" s="1"/>
  <c r="I9" i="5" l="1"/>
  <c r="I11" i="5" s="1"/>
  <c r="E13" i="5"/>
  <c r="E15" i="5" s="1"/>
  <c r="K10" i="5"/>
  <c r="K23" i="7"/>
  <c r="K24" i="7" s="1"/>
  <c r="H9" i="5"/>
  <c r="H13" i="5" s="1"/>
  <c r="H15" i="5" s="1"/>
  <c r="H11" i="5"/>
  <c r="K12" i="5"/>
  <c r="K23" i="8"/>
  <c r="K24" i="8" s="1"/>
  <c r="G11" i="5"/>
  <c r="G13" i="5" s="1"/>
  <c r="K14" i="5"/>
  <c r="K23" i="9"/>
  <c r="K24" i="9" s="1"/>
  <c r="D11" i="5"/>
  <c r="J9" i="5"/>
  <c r="J11" i="5" s="1"/>
  <c r="C11" i="5"/>
  <c r="C13" i="5"/>
  <c r="C15" i="5"/>
  <c r="K15" i="4"/>
  <c r="H23" i="4"/>
  <c r="H24" i="4" s="1"/>
  <c r="E11" i="5"/>
  <c r="F12" i="5"/>
  <c r="H14" i="5"/>
  <c r="G23" i="7"/>
  <c r="G24" i="7" s="1"/>
  <c r="H23" i="8"/>
  <c r="H24" i="8" s="1"/>
  <c r="I23" i="9"/>
  <c r="I24" i="9" s="1"/>
  <c r="K25" i="9"/>
  <c r="K20" i="8"/>
  <c r="K19" i="4"/>
  <c r="K20" i="7"/>
  <c r="I23" i="4"/>
  <c r="I24" i="4" s="1"/>
  <c r="D9" i="5"/>
  <c r="E10" i="5"/>
  <c r="G12" i="5"/>
  <c r="K25" i="8"/>
  <c r="K25" i="7"/>
  <c r="K21" i="4"/>
  <c r="F9" i="5"/>
  <c r="K21" i="9"/>
  <c r="K19" i="9"/>
  <c r="K19" i="8"/>
  <c r="K19" i="7"/>
  <c r="G23" i="9"/>
  <c r="G24" i="9" s="1"/>
  <c r="K8" i="5" l="1"/>
  <c r="K23" i="4"/>
  <c r="K24" i="4" s="1"/>
  <c r="D13" i="5"/>
  <c r="D15" i="5" s="1"/>
  <c r="F11" i="5"/>
  <c r="J13" i="5"/>
  <c r="I13" i="5"/>
  <c r="I15" i="5" s="1"/>
  <c r="J15" i="5"/>
  <c r="G15" i="5"/>
  <c r="K9" i="5" l="1"/>
  <c r="K11" i="5"/>
  <c r="K13" i="5" s="1"/>
  <c r="F13" i="5"/>
  <c r="F15" i="5" s="1"/>
  <c r="K15" i="5" l="1"/>
</calcChain>
</file>

<file path=xl/sharedStrings.xml><?xml version="1.0" encoding="utf-8"?>
<sst xmlns="http://schemas.openxmlformats.org/spreadsheetml/2006/main" count="260" uniqueCount="142">
  <si>
    <t>Cuaderno Número:</t>
  </si>
  <si>
    <t>001</t>
  </si>
  <si>
    <t>Cuaderno de Ingeniería</t>
  </si>
  <si>
    <t>Universidad de Guadalajara</t>
  </si>
  <si>
    <t>Ana Elena Macías Amezcua</t>
  </si>
  <si>
    <t>ana.macias@alumnos.udg.mx</t>
  </si>
  <si>
    <t>Fecha de apertura</t>
  </si>
  <si>
    <t>Fecha de cierre</t>
  </si>
  <si>
    <t xml:space="preserve">Contenido de cuadernos de Ingeniería </t>
  </si>
  <si>
    <t>Página</t>
  </si>
  <si>
    <t>Temas</t>
  </si>
  <si>
    <t>Fechas</t>
  </si>
  <si>
    <t>Portada y Datos del Ingeniero</t>
  </si>
  <si>
    <t>13/04/2026</t>
  </si>
  <si>
    <t>Índice de Contenidos</t>
  </si>
  <si>
    <t>Análisis de Requerimientos (IEEE-830 / SRS)</t>
  </si>
  <si>
    <t>17/04/2026</t>
  </si>
  <si>
    <t>Tabla de Requerimientos de Software (TRS)</t>
  </si>
  <si>
    <t>19/04/2026</t>
  </si>
  <si>
    <t>Tabla de Casos de Uso (TDCU)</t>
  </si>
  <si>
    <t>Diagrama de Casos de Uso</t>
  </si>
  <si>
    <t>22/04/2026</t>
  </si>
  <si>
    <t>Diagrama de Secuencia</t>
  </si>
  <si>
    <t>25/04/2026</t>
  </si>
  <si>
    <t>Diagrama de Comunicación</t>
  </si>
  <si>
    <t>Diagrama de Clases</t>
  </si>
  <si>
    <t>26/04/2026</t>
  </si>
  <si>
    <t>Diagrama de Estados</t>
  </si>
  <si>
    <t>27/04/2026</t>
  </si>
  <si>
    <t>Diagrama de Actividades</t>
  </si>
  <si>
    <t>Diagrama de Nodos / Despliegue</t>
  </si>
  <si>
    <t>28/04/2026</t>
  </si>
  <si>
    <t>Diagrama de Componentes</t>
  </si>
  <si>
    <t>Análisis de Project Libre (Administración)</t>
  </si>
  <si>
    <t>Control de Interrupciones</t>
  </si>
  <si>
    <t>Continuo</t>
  </si>
  <si>
    <t>Resumen Semanal de Actividades</t>
  </si>
  <si>
    <t>Lectura y comprensión del enunciado del proyecto</t>
  </si>
  <si>
    <t>Revisión README y estructura del repo GitHub</t>
  </si>
  <si>
    <t>Elaboración del PSP (Cuaderno de Ingeniería)</t>
  </si>
  <si>
    <t>Formato PSP inicial</t>
  </si>
  <si>
    <t>Análisis y elaboración IEEE-830 / SRS</t>
  </si>
  <si>
    <t>Revisión de requerimientos funcionales y no funcionales</t>
  </si>
  <si>
    <t>Fecha_________________</t>
  </si>
  <si>
    <t>Elaboración de Tabla de Requerimientos (TRS)</t>
  </si>
  <si>
    <t>Class__________________</t>
  </si>
  <si>
    <t>Elaboración TDCU (Tabla Descriptiva de Casos de Uso)</t>
  </si>
  <si>
    <t>Revisión y correcciones</t>
  </si>
  <si>
    <t>Modelado Diagrama de Casos de Uso (UML)</t>
  </si>
  <si>
    <t>diagrams.net</t>
  </si>
  <si>
    <t>C</t>
  </si>
  <si>
    <t>U</t>
  </si>
  <si>
    <t>Modelado Diagrama de Secuencia (UML)</t>
  </si>
  <si>
    <t>Modelado Diagrama de Comunicación (UML)</t>
  </si>
  <si>
    <t>Modelado Diagrama de Clases (UML)</t>
  </si>
  <si>
    <t>Modelado Diagrama de Estados (UML)</t>
  </si>
  <si>
    <t>Modelado Diagrama de Actividades (UML)</t>
  </si>
  <si>
    <t>Análisis de Project Libre</t>
  </si>
  <si>
    <t>Revisión de tareas y cronograma</t>
  </si>
  <si>
    <t>Modelado Diagrama de Nodos / Despliegue (UML)</t>
  </si>
  <si>
    <t>Modelado Diagrama de Componentes (UML)</t>
  </si>
  <si>
    <t>Creación y organización del repositorio GitHub</t>
  </si>
  <si>
    <t>Subida de diagramas y docs</t>
  </si>
  <si>
    <t>Revisión y validación de documentos entregables</t>
  </si>
  <si>
    <t>Correcciones finales SRS y diagramas</t>
  </si>
  <si>
    <t>Revisión final y preparación de entrega</t>
  </si>
  <si>
    <t>Compilación de todos los entregables</t>
  </si>
  <si>
    <t>Modelado Diagrama de Casos de Uso (UML) v2</t>
  </si>
  <si>
    <t>Diagramas Estados/Actividades + ProjectLibre</t>
  </si>
  <si>
    <t>Diagramas Nodos/Componentes (UML)</t>
  </si>
  <si>
    <t>Organización repositorio GitHub</t>
  </si>
  <si>
    <t>EL RESUMEN SEMANAL DE ACTIVIDADES</t>
  </si>
  <si>
    <t>Nombre</t>
  </si>
  <si>
    <t>Fecha: 13/04/2026 – 19/04/2026</t>
  </si>
  <si>
    <t>Tarea</t>
  </si>
  <si>
    <t>Lectura del proyecto</t>
  </si>
  <si>
    <t>Elaboración PSP</t>
  </si>
  <si>
    <t>Análisis IEEE-830/SRS</t>
  </si>
  <si>
    <t>Elaboración TRS</t>
  </si>
  <si>
    <t>Entrevista/Roles</t>
  </si>
  <si>
    <t>Elaboración TDCU</t>
  </si>
  <si>
    <t>Diagramas UML</t>
  </si>
  <si>
    <t>Correcciones SRS</t>
  </si>
  <si>
    <t>Total</t>
  </si>
  <si>
    <t>Fecha</t>
  </si>
  <si>
    <t>L  13/04/2026</t>
  </si>
  <si>
    <t>M  14/04/2026</t>
  </si>
  <si>
    <t>MI 15/04/2026</t>
  </si>
  <si>
    <t>J  16/04/2026</t>
  </si>
  <si>
    <t>V  17/04/2026</t>
  </si>
  <si>
    <t>S  18/04/2026</t>
  </si>
  <si>
    <t>D  19/04/2026</t>
  </si>
  <si>
    <t>Totales</t>
  </si>
  <si>
    <t>Tiempos y Medidas del Periodo       Número de Semanas  (número anterior +1): ____________</t>
  </si>
  <si>
    <t>Resumen de las semanas anteriores</t>
  </si>
  <si>
    <t>Med.</t>
  </si>
  <si>
    <t>Máx.</t>
  </si>
  <si>
    <t>Mín.</t>
  </si>
  <si>
    <t xml:space="preserve">Resumen incluyendo la última semana </t>
  </si>
  <si>
    <t>Avg.</t>
  </si>
  <si>
    <t>Min.</t>
  </si>
  <si>
    <t>RESUMEN ACUMULADO POR SEMANA</t>
  </si>
  <si>
    <t>Semana</t>
  </si>
  <si>
    <t>Entrevista cliente</t>
  </si>
  <si>
    <t>GitHub / Docs/Revisión</t>
  </si>
  <si>
    <t>Semana 0 (Antecedente)</t>
  </si>
  <si>
    <t>Semana 1</t>
  </si>
  <si>
    <t>Acumulado Sem. 1</t>
  </si>
  <si>
    <t>Semana 2</t>
  </si>
  <si>
    <t>Acumulado Sem. 2</t>
  </si>
  <si>
    <t>Semana 3</t>
  </si>
  <si>
    <t>Acumulado Sem. 3</t>
  </si>
  <si>
    <t>Semana 4</t>
  </si>
  <si>
    <t>Acumulado Sem. 4</t>
  </si>
  <si>
    <t>Nota: Para agregar semanas futuras, inserta filas con los datos y su fila de Acumulado correspondiente.</t>
  </si>
  <si>
    <t>Fecha: 20/04/2026 – 26/04/2026</t>
  </si>
  <si>
    <t>GitHub / Docs</t>
  </si>
  <si>
    <t>L  20/04/2026</t>
  </si>
  <si>
    <t>M  21/04/2026</t>
  </si>
  <si>
    <t>MI 22/04/2026</t>
  </si>
  <si>
    <t>J  23/04/2026</t>
  </si>
  <si>
    <t>V  24/04/2026</t>
  </si>
  <si>
    <t>S  25/04/2026</t>
  </si>
  <si>
    <t>D  26/04/2026</t>
  </si>
  <si>
    <t>Fecha: 27/04/2026 – 03/05/2026</t>
  </si>
  <si>
    <t>L  27/04/2026</t>
  </si>
  <si>
    <t>M  28/04/2026</t>
  </si>
  <si>
    <t>MI 29/04/2026</t>
  </si>
  <si>
    <t>J  30/04/2026</t>
  </si>
  <si>
    <t>V  01/05/2026</t>
  </si>
  <si>
    <t>S  02/05/2026</t>
  </si>
  <si>
    <t>D  03/05/2026</t>
  </si>
  <si>
    <t>Fecha: 04/05/2026 – 10/05/2026</t>
  </si>
  <si>
    <t>Revisión / Validación</t>
  </si>
  <si>
    <t>L  04/05/2026</t>
  </si>
  <si>
    <t>M  05/05/2026</t>
  </si>
  <si>
    <t>MI 06/05/2026</t>
  </si>
  <si>
    <t>J  07/05/2026</t>
  </si>
  <si>
    <t>V  08/05/2026</t>
  </si>
  <si>
    <t>S  09/05/2026</t>
  </si>
  <si>
    <t>D  10/05/2026</t>
  </si>
  <si>
    <t>Maestro: Edgar Cossio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</si>
</sst>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7" x14ac:knownFonts="1">
    <font>
      <sz val="11"/>
      <color theme="1"/>
      <name val="Calibri"/>
      <charset val="1"/>
    </font>
    <font>
      <b/>
      <sz val="11"/>
      <color theme="1"/>
      <name val="Calibri"/>
      <family val="2"/>
      <charset val="1"/>
    </font>
    <font>
      <sz val="30"/>
      <color theme="1"/>
      <name val="Calibri"/>
      <family val="2"/>
      <charset val="1"/>
    </font>
    <font>
      <sz val="29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/>
      <sz val="9"/>
      <name val="Cambria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1" fontId="0" fillId="0" borderId="0" xfId="0" applyNumberFormat="1"/>
    <xf numFmtId="164" fontId="0" fillId="0" borderId="9" xfId="0" applyNumberFormat="1" applyBorder="1"/>
    <xf numFmtId="21" fontId="0" fillId="0" borderId="9" xfId="0" applyNumberFormat="1" applyBorder="1"/>
    <xf numFmtId="0" fontId="0" fillId="0" borderId="9" xfId="0" applyBorder="1"/>
    <xf numFmtId="165" fontId="0" fillId="0" borderId="9" xfId="0" applyNumberFormat="1" applyBorder="1"/>
    <xf numFmtId="20" fontId="0" fillId="0" borderId="9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552600</xdr:colOff>
      <xdr:row>0</xdr:row>
      <xdr:rowOff>0</xdr:rowOff>
    </xdr:from>
    <xdr:to>
      <xdr:col>7</xdr:col>
      <xdr:colOff>1747080</xdr:colOff>
      <xdr:row>7</xdr:row>
      <xdr:rowOff>45720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131880" y="0"/>
          <a:ext cx="4084200" cy="1360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514440</xdr:colOff>
      <xdr:row>0</xdr:row>
      <xdr:rowOff>0</xdr:rowOff>
    </xdr:from>
    <xdr:to>
      <xdr:col>12</xdr:col>
      <xdr:colOff>527040</xdr:colOff>
      <xdr:row>4</xdr:row>
      <xdr:rowOff>7560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950320" y="0"/>
          <a:ext cx="4102200" cy="1360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7"/>
  <sheetViews>
    <sheetView showGridLines="0" tabSelected="1" zoomScaleNormal="100" workbookViewId="0">
      <selection activeCell="F13" sqref="F13"/>
    </sheetView>
  </sheetViews>
  <sheetFormatPr baseColWidth="10" defaultColWidth="14.5" defaultRowHeight="15" x14ac:dyDescent="0.2"/>
  <cols>
    <col min="1" max="1" width="10.6640625" customWidth="1"/>
    <col min="2" max="2" width="17" customWidth="1"/>
    <col min="3" max="3" width="10.6640625" customWidth="1"/>
    <col min="4" max="4" width="15.1640625" customWidth="1"/>
    <col min="5" max="5" width="10.6640625" customWidth="1"/>
    <col min="6" max="6" width="17.5" customWidth="1"/>
    <col min="7" max="7" width="11.1640625" customWidth="1"/>
    <col min="8" max="26" width="10.6640625" customWidth="1"/>
  </cols>
  <sheetData>
    <row r="1" spans="1:7" ht="14.25" customHeight="1" x14ac:dyDescent="0.2">
      <c r="F1" t="s">
        <v>0</v>
      </c>
      <c r="G1" t="s">
        <v>1</v>
      </c>
    </row>
    <row r="4" spans="1:7" ht="14.25" customHeight="1" x14ac:dyDescent="0.2">
      <c r="A4" s="2" t="s">
        <v>2</v>
      </c>
      <c r="B4" s="2"/>
      <c r="C4" s="2"/>
      <c r="D4" s="2"/>
      <c r="E4" s="2"/>
      <c r="F4" s="2"/>
      <c r="G4" s="2"/>
    </row>
    <row r="5" spans="1:7" ht="14.25" customHeight="1" x14ac:dyDescent="0.2">
      <c r="A5" s="2" t="s">
        <v>3</v>
      </c>
      <c r="B5" s="2"/>
      <c r="C5" s="2"/>
      <c r="D5" s="2"/>
      <c r="E5" s="2"/>
      <c r="F5" s="2"/>
      <c r="G5" s="2"/>
    </row>
    <row r="8" spans="1:7" ht="14.25" customHeight="1" x14ac:dyDescent="0.2">
      <c r="A8" s="1" t="s">
        <v>4</v>
      </c>
      <c r="B8" s="1"/>
      <c r="C8" s="26" t="s">
        <v>141</v>
      </c>
      <c r="D8" s="1"/>
      <c r="E8" s="1"/>
      <c r="F8" s="1"/>
      <c r="G8" s="1"/>
    </row>
    <row r="9" spans="1:7" ht="14.25" customHeight="1" x14ac:dyDescent="0.2">
      <c r="A9" s="1" t="s">
        <v>5</v>
      </c>
      <c r="B9" s="1"/>
    </row>
    <row r="13" spans="1:7" ht="14.25" customHeight="1" x14ac:dyDescent="0.2">
      <c r="B13" t="s">
        <v>6</v>
      </c>
      <c r="C13" s="3">
        <v>46125</v>
      </c>
      <c r="D13" t="s">
        <v>7</v>
      </c>
      <c r="E13" s="3">
        <v>46159</v>
      </c>
    </row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5">
    <mergeCell ref="A4:G4"/>
    <mergeCell ref="A5:G5"/>
    <mergeCell ref="A8:B8"/>
    <mergeCell ref="C8:G8"/>
    <mergeCell ref="A9:B9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997"/>
  <sheetViews>
    <sheetView showGridLines="0" topLeftCell="A4" zoomScaleNormal="100" workbookViewId="0"/>
  </sheetViews>
  <sheetFormatPr baseColWidth="10" defaultColWidth="14.5" defaultRowHeight="15" x14ac:dyDescent="0.2"/>
  <cols>
    <col min="1" max="1" width="10.6640625" customWidth="1"/>
    <col min="2" max="2" width="17" customWidth="1"/>
    <col min="3" max="3" width="10.6640625" customWidth="1"/>
    <col min="4" max="4" width="15.1640625" customWidth="1"/>
    <col min="5" max="5" width="10.6640625" customWidth="1"/>
    <col min="6" max="6" width="17.5" customWidth="1"/>
    <col min="7" max="7" width="11.1640625" customWidth="1"/>
    <col min="8" max="26" width="10.6640625" customWidth="1"/>
  </cols>
  <sheetData>
    <row r="4" spans="2:5" ht="14.25" customHeight="1" x14ac:dyDescent="0.2">
      <c r="B4" s="4"/>
      <c r="C4" s="5" t="s">
        <v>8</v>
      </c>
      <c r="D4" s="5"/>
      <c r="E4" s="6"/>
    </row>
    <row r="5" spans="2:5" ht="14.25" customHeight="1" x14ac:dyDescent="0.2">
      <c r="B5" s="7" t="s">
        <v>9</v>
      </c>
      <c r="C5" s="8" t="s">
        <v>10</v>
      </c>
      <c r="D5" s="8" t="s">
        <v>11</v>
      </c>
      <c r="E5" s="9"/>
    </row>
    <row r="6" spans="2:5" ht="14.25" customHeight="1" x14ac:dyDescent="0.2">
      <c r="B6" s="10">
        <v>1</v>
      </c>
      <c r="C6" t="s">
        <v>12</v>
      </c>
      <c r="D6" t="s">
        <v>13</v>
      </c>
      <c r="E6" s="9"/>
    </row>
    <row r="7" spans="2:5" ht="14.25" customHeight="1" x14ac:dyDescent="0.2">
      <c r="B7" s="10">
        <v>2</v>
      </c>
      <c r="C7" t="s">
        <v>14</v>
      </c>
      <c r="D7" t="s">
        <v>13</v>
      </c>
      <c r="E7" s="9"/>
    </row>
    <row r="8" spans="2:5" ht="14.25" customHeight="1" x14ac:dyDescent="0.2">
      <c r="B8" s="10">
        <v>3</v>
      </c>
      <c r="C8" t="s">
        <v>15</v>
      </c>
      <c r="D8" t="s">
        <v>16</v>
      </c>
      <c r="E8" s="9"/>
    </row>
    <row r="9" spans="2:5" ht="14.25" customHeight="1" x14ac:dyDescent="0.2">
      <c r="B9" s="10">
        <v>4</v>
      </c>
      <c r="C9" t="s">
        <v>17</v>
      </c>
      <c r="D9" t="s">
        <v>18</v>
      </c>
      <c r="E9" s="9"/>
    </row>
    <row r="10" spans="2:5" ht="14.25" customHeight="1" x14ac:dyDescent="0.2">
      <c r="B10" s="10">
        <v>5</v>
      </c>
      <c r="C10" t="s">
        <v>19</v>
      </c>
      <c r="D10" t="s">
        <v>18</v>
      </c>
      <c r="E10" s="9"/>
    </row>
    <row r="11" spans="2:5" ht="14.25" customHeight="1" x14ac:dyDescent="0.2">
      <c r="B11" s="10">
        <v>6</v>
      </c>
      <c r="C11" t="s">
        <v>20</v>
      </c>
      <c r="D11" t="s">
        <v>21</v>
      </c>
      <c r="E11" s="9"/>
    </row>
    <row r="12" spans="2:5" ht="14.25" customHeight="1" x14ac:dyDescent="0.2">
      <c r="B12" s="10">
        <v>7</v>
      </c>
      <c r="C12" t="s">
        <v>22</v>
      </c>
      <c r="D12" t="s">
        <v>23</v>
      </c>
      <c r="E12" s="9"/>
    </row>
    <row r="13" spans="2:5" ht="14.25" customHeight="1" x14ac:dyDescent="0.2">
      <c r="B13" s="10">
        <v>8</v>
      </c>
      <c r="C13" t="s">
        <v>24</v>
      </c>
      <c r="D13" t="s">
        <v>23</v>
      </c>
      <c r="E13" s="9"/>
    </row>
    <row r="14" spans="2:5" ht="14.25" customHeight="1" x14ac:dyDescent="0.2">
      <c r="B14" s="10">
        <v>9</v>
      </c>
      <c r="C14" t="s">
        <v>25</v>
      </c>
      <c r="D14" t="s">
        <v>26</v>
      </c>
      <c r="E14" s="9"/>
    </row>
    <row r="15" spans="2:5" ht="14.25" customHeight="1" x14ac:dyDescent="0.2">
      <c r="B15" s="10">
        <v>10</v>
      </c>
      <c r="C15" t="s">
        <v>27</v>
      </c>
      <c r="D15" t="s">
        <v>28</v>
      </c>
      <c r="E15" s="9"/>
    </row>
    <row r="16" spans="2:5" ht="14.25" customHeight="1" x14ac:dyDescent="0.2">
      <c r="B16" s="10">
        <v>11</v>
      </c>
      <c r="C16" t="s">
        <v>29</v>
      </c>
      <c r="D16" t="s">
        <v>28</v>
      </c>
      <c r="E16" s="9"/>
    </row>
    <row r="17" spans="2:5" ht="14.25" customHeight="1" x14ac:dyDescent="0.2">
      <c r="B17" s="11">
        <v>12</v>
      </c>
      <c r="C17" s="12" t="s">
        <v>30</v>
      </c>
      <c r="D17" s="12" t="s">
        <v>31</v>
      </c>
      <c r="E17" s="13"/>
    </row>
    <row r="18" spans="2:5" ht="15.75" customHeight="1" x14ac:dyDescent="0.2">
      <c r="B18">
        <v>13</v>
      </c>
      <c r="C18" t="s">
        <v>32</v>
      </c>
      <c r="D18" t="s">
        <v>31</v>
      </c>
    </row>
    <row r="19" spans="2:5" ht="15.75" customHeight="1" x14ac:dyDescent="0.2">
      <c r="B19">
        <v>14</v>
      </c>
      <c r="C19" t="s">
        <v>33</v>
      </c>
      <c r="D19" t="s">
        <v>28</v>
      </c>
    </row>
    <row r="20" spans="2:5" ht="15.75" customHeight="1" x14ac:dyDescent="0.2">
      <c r="B20">
        <v>15</v>
      </c>
      <c r="C20" t="s">
        <v>34</v>
      </c>
      <c r="D20" t="s">
        <v>35</v>
      </c>
    </row>
    <row r="21" spans="2:5" ht="15.75" customHeight="1" x14ac:dyDescent="0.2">
      <c r="B21">
        <v>16</v>
      </c>
      <c r="C21" t="s">
        <v>36</v>
      </c>
      <c r="D21" t="s">
        <v>35</v>
      </c>
    </row>
    <row r="22" spans="2:5" ht="15.75" customHeight="1" x14ac:dyDescent="0.2"/>
    <row r="23" spans="2:5" ht="15.75" customHeight="1" x14ac:dyDescent="0.2"/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4"/>
  <sheetViews>
    <sheetView showGridLines="0" topLeftCell="A13" zoomScaleNormal="100" workbookViewId="0"/>
  </sheetViews>
  <sheetFormatPr baseColWidth="10" defaultColWidth="14.5" defaultRowHeight="15" x14ac:dyDescent="0.2"/>
  <cols>
    <col min="1" max="1" width="10.6640625" customWidth="1"/>
    <col min="2" max="2" width="11.33203125" customWidth="1"/>
    <col min="3" max="4" width="12" customWidth="1"/>
    <col min="5" max="5" width="21.1640625" customWidth="1"/>
    <col min="6" max="6" width="12" customWidth="1"/>
    <col min="7" max="7" width="41" customWidth="1"/>
    <col min="8" max="8" width="26.33203125" customWidth="1"/>
    <col min="9" max="10" width="12" customWidth="1"/>
    <col min="11" max="27" width="10.6640625" customWidth="1"/>
  </cols>
  <sheetData>
    <row r="1" spans="2:10" ht="15" customHeight="1" x14ac:dyDescent="0.2">
      <c r="C1" t="s">
        <v>4</v>
      </c>
      <c r="I1" s="3">
        <v>46159</v>
      </c>
    </row>
    <row r="4" spans="2:10" ht="15" customHeight="1" x14ac:dyDescent="0.2">
      <c r="B4" s="3">
        <v>46125</v>
      </c>
      <c r="C4" s="14">
        <v>0.375</v>
      </c>
      <c r="D4" s="14">
        <v>0.41666666666666702</v>
      </c>
      <c r="E4">
        <v>0</v>
      </c>
      <c r="F4">
        <v>60</v>
      </c>
      <c r="G4" t="s">
        <v>37</v>
      </c>
      <c r="H4" t="s">
        <v>38</v>
      </c>
    </row>
    <row r="5" spans="2:10" ht="15" customHeight="1" x14ac:dyDescent="0.2">
      <c r="B5" s="3">
        <v>46129</v>
      </c>
      <c r="C5" s="14">
        <v>0.72916666666666696</v>
      </c>
      <c r="D5" s="14">
        <v>0.77083333333333304</v>
      </c>
      <c r="E5">
        <v>0</v>
      </c>
      <c r="F5">
        <v>60</v>
      </c>
      <c r="G5" t="s">
        <v>39</v>
      </c>
      <c r="H5" t="s">
        <v>40</v>
      </c>
    </row>
    <row r="6" spans="2:10" ht="14.25" customHeight="1" x14ac:dyDescent="0.2">
      <c r="B6" s="3">
        <v>46131</v>
      </c>
      <c r="C6" s="14">
        <v>0.39583333333333298</v>
      </c>
      <c r="D6" s="14">
        <v>0.64583333333333304</v>
      </c>
      <c r="E6">
        <v>10</v>
      </c>
      <c r="F6">
        <v>350</v>
      </c>
      <c r="G6" t="s">
        <v>41</v>
      </c>
      <c r="H6" t="s">
        <v>42</v>
      </c>
      <c r="I6" t="s">
        <v>43</v>
      </c>
    </row>
    <row r="7" spans="2:10" ht="14.25" customHeight="1" x14ac:dyDescent="0.2">
      <c r="B7" s="3">
        <v>46131</v>
      </c>
      <c r="C7" s="14">
        <v>0.66666666666666696</v>
      </c>
      <c r="D7" s="14">
        <v>0.72916666666666696</v>
      </c>
      <c r="E7">
        <v>0</v>
      </c>
      <c r="F7">
        <v>90</v>
      </c>
      <c r="G7" t="s">
        <v>44</v>
      </c>
      <c r="I7" t="s">
        <v>45</v>
      </c>
    </row>
    <row r="8" spans="2:10" ht="15" customHeight="1" x14ac:dyDescent="0.2">
      <c r="B8" s="3">
        <v>46134</v>
      </c>
      <c r="C8" s="14">
        <v>0.72916666666666696</v>
      </c>
      <c r="D8" s="14">
        <v>0.77083333333333304</v>
      </c>
      <c r="E8">
        <v>5</v>
      </c>
      <c r="F8">
        <v>55</v>
      </c>
      <c r="G8" t="s">
        <v>46</v>
      </c>
      <c r="H8" t="s">
        <v>47</v>
      </c>
    </row>
    <row r="9" spans="2:10" ht="14.25" customHeight="1" x14ac:dyDescent="0.2">
      <c r="B9" s="15">
        <v>46137</v>
      </c>
      <c r="C9" s="16">
        <v>0.41666666666666702</v>
      </c>
      <c r="D9" s="16">
        <v>0.5</v>
      </c>
      <c r="E9" s="17">
        <v>0</v>
      </c>
      <c r="F9" s="17">
        <v>120</v>
      </c>
      <c r="G9" s="17" t="s">
        <v>48</v>
      </c>
      <c r="H9" s="17" t="s">
        <v>49</v>
      </c>
      <c r="I9" s="17" t="s">
        <v>50</v>
      </c>
      <c r="J9" s="17" t="s">
        <v>51</v>
      </c>
    </row>
    <row r="10" spans="2:10" ht="14.25" customHeight="1" x14ac:dyDescent="0.2">
      <c r="B10" s="18">
        <v>46137</v>
      </c>
      <c r="C10" s="19">
        <v>0.52083333333333304</v>
      </c>
      <c r="D10" s="19">
        <v>0.58333333333333304</v>
      </c>
      <c r="E10" s="17">
        <v>0</v>
      </c>
      <c r="F10" s="17">
        <v>90</v>
      </c>
      <c r="G10" s="17" t="s">
        <v>52</v>
      </c>
      <c r="H10" s="17" t="s">
        <v>49</v>
      </c>
      <c r="I10" s="17"/>
      <c r="J10" s="17"/>
    </row>
    <row r="11" spans="2:10" ht="14.25" customHeight="1" x14ac:dyDescent="0.2">
      <c r="B11" s="18">
        <v>46138</v>
      </c>
      <c r="C11" s="19">
        <v>0.41666666666666702</v>
      </c>
      <c r="D11" s="19">
        <v>0.47916666666666702</v>
      </c>
      <c r="E11" s="17">
        <v>0</v>
      </c>
      <c r="F11" s="17">
        <v>90</v>
      </c>
      <c r="G11" s="17" t="s">
        <v>53</v>
      </c>
      <c r="H11" s="17" t="s">
        <v>49</v>
      </c>
      <c r="I11" s="17"/>
      <c r="J11" s="17"/>
    </row>
    <row r="12" spans="2:10" ht="14.25" customHeight="1" x14ac:dyDescent="0.2">
      <c r="B12" s="18">
        <v>46138</v>
      </c>
      <c r="C12" s="19">
        <v>0.5</v>
      </c>
      <c r="D12" s="19">
        <v>0.58333333333333304</v>
      </c>
      <c r="E12" s="17">
        <v>0</v>
      </c>
      <c r="F12" s="17">
        <v>120</v>
      </c>
      <c r="G12" s="17" t="s">
        <v>54</v>
      </c>
      <c r="H12" s="17" t="s">
        <v>49</v>
      </c>
      <c r="I12" s="17"/>
      <c r="J12" s="17"/>
    </row>
    <row r="13" spans="2:10" ht="14.25" customHeight="1" x14ac:dyDescent="0.2">
      <c r="B13" s="18">
        <v>46139</v>
      </c>
      <c r="C13" s="16">
        <v>0.41666666666666702</v>
      </c>
      <c r="D13" s="16">
        <v>0.45833333333333298</v>
      </c>
      <c r="E13" s="17">
        <v>0</v>
      </c>
      <c r="F13" s="17">
        <v>60</v>
      </c>
      <c r="G13" s="17" t="s">
        <v>55</v>
      </c>
      <c r="H13" s="17" t="s">
        <v>49</v>
      </c>
      <c r="I13" s="17"/>
      <c r="J13" s="17"/>
    </row>
    <row r="14" spans="2:10" ht="14.25" customHeight="1" x14ac:dyDescent="0.2">
      <c r="B14" s="18">
        <v>46139</v>
      </c>
      <c r="C14" s="16">
        <v>0.47916666666666702</v>
      </c>
      <c r="D14" s="16">
        <v>0.52083333333333304</v>
      </c>
      <c r="E14" s="17">
        <v>0</v>
      </c>
      <c r="F14" s="17">
        <v>60</v>
      </c>
      <c r="G14" s="17" t="s">
        <v>56</v>
      </c>
      <c r="H14" s="17" t="s">
        <v>49</v>
      </c>
      <c r="I14" s="17"/>
      <c r="J14" s="17"/>
    </row>
    <row r="15" spans="2:10" ht="14.25" customHeight="1" x14ac:dyDescent="0.2">
      <c r="B15" s="18">
        <v>46139</v>
      </c>
      <c r="C15" s="16">
        <v>0.54166666666666696</v>
      </c>
      <c r="D15" s="16">
        <v>0.57291666666666696</v>
      </c>
      <c r="E15" s="17">
        <v>0</v>
      </c>
      <c r="F15" s="17">
        <v>45</v>
      </c>
      <c r="G15" s="17" t="s">
        <v>57</v>
      </c>
      <c r="H15" s="17" t="s">
        <v>58</v>
      </c>
      <c r="I15" s="17"/>
      <c r="J15" s="17"/>
    </row>
    <row r="16" spans="2:10" ht="14.25" customHeight="1" x14ac:dyDescent="0.2">
      <c r="B16" s="18">
        <v>46140</v>
      </c>
      <c r="C16" s="16">
        <v>0.375</v>
      </c>
      <c r="D16" s="16">
        <v>0.41666666666666702</v>
      </c>
      <c r="E16" s="17">
        <v>0</v>
      </c>
      <c r="F16" s="17">
        <v>60</v>
      </c>
      <c r="G16" s="17" t="s">
        <v>59</v>
      </c>
      <c r="H16" s="17" t="s">
        <v>49</v>
      </c>
      <c r="I16" s="17"/>
      <c r="J16" s="17"/>
    </row>
    <row r="17" spans="2:10" ht="14.25" customHeight="1" x14ac:dyDescent="0.2">
      <c r="B17" s="15">
        <v>46140</v>
      </c>
      <c r="C17" s="16">
        <v>0.4375</v>
      </c>
      <c r="D17" s="16">
        <v>0.47916666666666702</v>
      </c>
      <c r="E17" s="17">
        <v>0</v>
      </c>
      <c r="F17" s="17">
        <v>60</v>
      </c>
      <c r="G17" s="17" t="s">
        <v>60</v>
      </c>
      <c r="H17" s="17" t="s">
        <v>49</v>
      </c>
      <c r="I17" s="17"/>
      <c r="J17" s="17"/>
    </row>
    <row r="18" spans="2:10" ht="14.25" customHeight="1" x14ac:dyDescent="0.2">
      <c r="B18" s="15">
        <v>46140</v>
      </c>
      <c r="C18" s="16">
        <v>0.5</v>
      </c>
      <c r="D18" s="16">
        <v>0.54166666666666696</v>
      </c>
      <c r="E18" s="17">
        <v>0</v>
      </c>
      <c r="F18" s="17">
        <v>60</v>
      </c>
      <c r="G18" s="17" t="s">
        <v>61</v>
      </c>
      <c r="H18" s="17" t="s">
        <v>62</v>
      </c>
      <c r="I18" s="17"/>
      <c r="J18" s="17"/>
    </row>
    <row r="19" spans="2:10" ht="14.25" customHeight="1" x14ac:dyDescent="0.2">
      <c r="B19" s="15">
        <v>46147</v>
      </c>
      <c r="C19" s="16">
        <v>0.375</v>
      </c>
      <c r="D19" s="16">
        <v>0.45833333333333298</v>
      </c>
      <c r="E19" s="17">
        <v>0</v>
      </c>
      <c r="F19" s="17">
        <v>120</v>
      </c>
      <c r="G19" s="17" t="s">
        <v>63</v>
      </c>
      <c r="H19" s="17" t="s">
        <v>64</v>
      </c>
      <c r="I19" s="17"/>
      <c r="J19" s="17"/>
    </row>
    <row r="20" spans="2:10" ht="14.25" customHeight="1" x14ac:dyDescent="0.2">
      <c r="B20" s="15">
        <v>46152</v>
      </c>
      <c r="C20" s="16">
        <v>0.41666666666666702</v>
      </c>
      <c r="D20" s="16">
        <v>0.47916666666666702</v>
      </c>
      <c r="E20" s="17">
        <v>0</v>
      </c>
      <c r="F20" s="17">
        <v>90</v>
      </c>
      <c r="G20" s="17" t="s">
        <v>65</v>
      </c>
      <c r="H20" s="17" t="s">
        <v>66</v>
      </c>
      <c r="I20" s="17"/>
      <c r="J20" s="17"/>
    </row>
    <row r="21" spans="2:10" ht="14.25" customHeight="1" x14ac:dyDescent="0.2">
      <c r="B21" s="3">
        <v>46137</v>
      </c>
      <c r="C21" s="14">
        <v>0.41666666666666702</v>
      </c>
      <c r="D21" s="14">
        <v>0.5625</v>
      </c>
      <c r="E21">
        <v>12</v>
      </c>
      <c r="F21">
        <v>120</v>
      </c>
      <c r="G21" t="s">
        <v>67</v>
      </c>
      <c r="H21" t="s">
        <v>49</v>
      </c>
      <c r="I21" s="17"/>
      <c r="J21" s="17"/>
    </row>
    <row r="22" spans="2:10" ht="14.25" customHeight="1" x14ac:dyDescent="0.2">
      <c r="B22" s="3">
        <v>46137</v>
      </c>
      <c r="C22" s="14">
        <v>0.58333333333333304</v>
      </c>
      <c r="D22" s="14">
        <v>0.64930555555555602</v>
      </c>
      <c r="E22">
        <v>5</v>
      </c>
      <c r="F22">
        <v>90</v>
      </c>
      <c r="G22" t="s">
        <v>52</v>
      </c>
      <c r="H22" t="s">
        <v>49</v>
      </c>
      <c r="I22" s="17"/>
      <c r="J22" s="17"/>
    </row>
    <row r="23" spans="2:10" ht="14.25" customHeight="1" x14ac:dyDescent="0.2">
      <c r="B23" s="3">
        <v>46138</v>
      </c>
      <c r="C23" s="14">
        <v>0.41666666666666702</v>
      </c>
      <c r="D23" s="14">
        <v>0.48263888888888901</v>
      </c>
      <c r="E23">
        <v>5</v>
      </c>
      <c r="F23">
        <v>90</v>
      </c>
      <c r="G23" t="s">
        <v>53</v>
      </c>
      <c r="H23" t="s">
        <v>49</v>
      </c>
      <c r="I23" s="17"/>
      <c r="J23" s="17"/>
    </row>
    <row r="24" spans="2:10" ht="14.25" customHeight="1" x14ac:dyDescent="0.2">
      <c r="B24" s="3">
        <v>46138</v>
      </c>
      <c r="C24" s="14">
        <v>0.5</v>
      </c>
      <c r="D24" s="14">
        <v>0.59166666666666701</v>
      </c>
      <c r="E24">
        <v>12</v>
      </c>
      <c r="F24">
        <v>120</v>
      </c>
      <c r="G24" t="s">
        <v>54</v>
      </c>
      <c r="H24" t="s">
        <v>49</v>
      </c>
      <c r="I24" s="17"/>
      <c r="J24" s="17"/>
    </row>
    <row r="25" spans="2:10" ht="15.75" customHeight="1" x14ac:dyDescent="0.2">
      <c r="B25" s="3">
        <v>46139</v>
      </c>
      <c r="C25" s="14">
        <v>0.41666666666666702</v>
      </c>
      <c r="D25" s="14">
        <v>0.53958333333333297</v>
      </c>
      <c r="E25">
        <v>12</v>
      </c>
      <c r="F25">
        <v>165</v>
      </c>
      <c r="G25" t="s">
        <v>68</v>
      </c>
      <c r="H25" t="s">
        <v>49</v>
      </c>
      <c r="I25" s="17"/>
      <c r="J25" s="17"/>
    </row>
    <row r="26" spans="2:10" ht="15.75" customHeight="1" x14ac:dyDescent="0.2">
      <c r="B26" s="3">
        <v>46140</v>
      </c>
      <c r="C26" s="14">
        <v>0.375</v>
      </c>
      <c r="D26" s="14">
        <v>0.46666666666666701</v>
      </c>
      <c r="E26">
        <v>12</v>
      </c>
      <c r="F26">
        <v>120</v>
      </c>
      <c r="G26" t="s">
        <v>69</v>
      </c>
      <c r="H26" t="s">
        <v>49</v>
      </c>
      <c r="I26" s="17"/>
      <c r="J26" s="17"/>
    </row>
    <row r="27" spans="2:10" ht="15.75" customHeight="1" x14ac:dyDescent="0.2">
      <c r="B27" s="3">
        <v>46140</v>
      </c>
      <c r="C27" s="14">
        <v>0.5</v>
      </c>
      <c r="D27" s="14">
        <v>0.55000000000000004</v>
      </c>
      <c r="E27">
        <v>12</v>
      </c>
      <c r="F27">
        <v>60</v>
      </c>
      <c r="G27" t="s">
        <v>70</v>
      </c>
      <c r="H27" t="s">
        <v>62</v>
      </c>
      <c r="I27" s="17"/>
      <c r="J27" s="17"/>
    </row>
    <row r="28" spans="2:10" ht="15.75" customHeight="1" x14ac:dyDescent="0.2">
      <c r="B28" s="3">
        <v>46147</v>
      </c>
      <c r="C28" s="14">
        <v>0.375</v>
      </c>
      <c r="D28" s="14">
        <v>0.46666666666666701</v>
      </c>
      <c r="E28">
        <v>12</v>
      </c>
      <c r="F28">
        <v>120</v>
      </c>
      <c r="G28" t="s">
        <v>63</v>
      </c>
      <c r="H28" t="s">
        <v>64</v>
      </c>
      <c r="I28" s="17"/>
      <c r="J28" s="17"/>
    </row>
    <row r="29" spans="2:10" ht="15.75" customHeight="1" x14ac:dyDescent="0.2">
      <c r="B29" s="3">
        <v>46152</v>
      </c>
      <c r="C29" s="14">
        <v>0.41666666666666702</v>
      </c>
      <c r="D29" s="14">
        <v>0.48749999999999999</v>
      </c>
      <c r="E29">
        <v>12</v>
      </c>
      <c r="F29">
        <v>90</v>
      </c>
      <c r="G29" t="s">
        <v>65</v>
      </c>
      <c r="H29" t="s">
        <v>66</v>
      </c>
      <c r="I29" s="17"/>
      <c r="J29" s="17"/>
    </row>
    <row r="30" spans="2:10" ht="15.75" customHeight="1" x14ac:dyDescent="0.2">
      <c r="B30" s="17"/>
      <c r="C30" s="17"/>
      <c r="D30" s="17"/>
      <c r="E30" s="17"/>
      <c r="F30" s="17"/>
      <c r="G30" s="17"/>
      <c r="H30" s="17"/>
      <c r="I30" s="17"/>
      <c r="J30" s="17"/>
    </row>
    <row r="31" spans="2:10" ht="15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</row>
    <row r="32" spans="2:10" ht="15.75" customHeight="1" x14ac:dyDescent="0.2">
      <c r="B32" s="17"/>
      <c r="C32" s="17"/>
      <c r="D32" s="17"/>
      <c r="E32" s="17"/>
      <c r="F32" s="17"/>
      <c r="G32" s="17"/>
      <c r="H32" s="17"/>
      <c r="I32" s="17"/>
      <c r="J32" s="17"/>
    </row>
    <row r="33" spans="2:10" ht="15.75" customHeight="1" x14ac:dyDescent="0.2">
      <c r="B33" s="17"/>
      <c r="C33" s="17"/>
      <c r="D33" s="17"/>
      <c r="E33" s="17"/>
      <c r="F33" s="17"/>
      <c r="G33" s="17"/>
      <c r="H33" s="17"/>
      <c r="I33" s="17"/>
      <c r="J33" s="17"/>
    </row>
    <row r="34" spans="2:10" ht="15.7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</row>
    <row r="35" spans="2:10" ht="15.75" customHeight="1" x14ac:dyDescent="0.2"/>
    <row r="36" spans="2:10" ht="15.75" customHeight="1" x14ac:dyDescent="0.2"/>
    <row r="37" spans="2:10" ht="15.75" customHeight="1" x14ac:dyDescent="0.2"/>
    <row r="38" spans="2:10" ht="15.75" customHeight="1" x14ac:dyDescent="0.2"/>
    <row r="39" spans="2:10" ht="15.75" customHeight="1" x14ac:dyDescent="0.2"/>
    <row r="40" spans="2:10" ht="15.75" customHeight="1" x14ac:dyDescent="0.2"/>
    <row r="41" spans="2:10" ht="15.75" customHeight="1" x14ac:dyDescent="0.2"/>
    <row r="42" spans="2:10" ht="15.75" customHeight="1" x14ac:dyDescent="0.2"/>
    <row r="43" spans="2:10" ht="15.75" customHeight="1" x14ac:dyDescent="0.2"/>
    <row r="44" spans="2:10" ht="15.75" customHeight="1" x14ac:dyDescent="0.2"/>
    <row r="45" spans="2:10" ht="15.75" customHeight="1" x14ac:dyDescent="0.2"/>
    <row r="46" spans="2:10" ht="15.75" customHeight="1" x14ac:dyDescent="0.2"/>
    <row r="47" spans="2:10" ht="15.75" customHeight="1" x14ac:dyDescent="0.2"/>
    <row r="48" spans="2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showGridLines="0" zoomScaleNormal="100" workbookViewId="0">
      <selection activeCell="C19" sqref="C19"/>
    </sheetView>
  </sheetViews>
  <sheetFormatPr baseColWidth="10" defaultColWidth="14.5" defaultRowHeight="15" x14ac:dyDescent="0.2"/>
  <cols>
    <col min="2" max="2" width="16.83203125" customWidth="1"/>
    <col min="3" max="3" width="15.83203125" customWidth="1"/>
  </cols>
  <sheetData>
    <row r="1" spans="1:11" ht="38.25" customHeight="1" x14ac:dyDescent="0.45">
      <c r="E1" s="20"/>
      <c r="F1" s="21"/>
    </row>
    <row r="2" spans="1:11" ht="38.25" customHeight="1" x14ac:dyDescent="0.45">
      <c r="E2" s="20"/>
      <c r="F2" s="21" t="s">
        <v>71</v>
      </c>
    </row>
    <row r="5" spans="1:11" ht="14.25" customHeight="1" x14ac:dyDescent="0.2">
      <c r="B5" t="s">
        <v>72</v>
      </c>
      <c r="C5" t="s">
        <v>4</v>
      </c>
      <c r="I5" t="s">
        <v>73</v>
      </c>
    </row>
    <row r="6" spans="1:11" ht="14.25" customHeight="1" x14ac:dyDescent="0.2">
      <c r="A6">
        <v>1</v>
      </c>
      <c r="B6" s="17" t="s">
        <v>74</v>
      </c>
      <c r="C6" s="17" t="s">
        <v>75</v>
      </c>
      <c r="D6" s="17" t="s">
        <v>76</v>
      </c>
      <c r="E6" s="17" t="s">
        <v>77</v>
      </c>
      <c r="F6" s="17" t="s">
        <v>78</v>
      </c>
      <c r="G6" s="17" t="s">
        <v>79</v>
      </c>
      <c r="H6" s="17" t="s">
        <v>80</v>
      </c>
      <c r="I6" s="17" t="s">
        <v>81</v>
      </c>
      <c r="J6" s="17" t="s">
        <v>82</v>
      </c>
      <c r="K6" s="22" t="s">
        <v>83</v>
      </c>
    </row>
    <row r="7" spans="1:11" ht="14.25" customHeight="1" x14ac:dyDescent="0.2">
      <c r="A7">
        <v>2</v>
      </c>
      <c r="B7" s="17" t="s">
        <v>84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ht="14.25" customHeight="1" x14ac:dyDescent="0.2">
      <c r="A8">
        <v>3</v>
      </c>
      <c r="B8" s="17" t="s">
        <v>85</v>
      </c>
      <c r="C8" s="17">
        <v>60</v>
      </c>
      <c r="D8" s="17"/>
      <c r="E8" s="17"/>
      <c r="F8" s="17"/>
      <c r="G8" s="17"/>
      <c r="H8" s="17"/>
      <c r="I8" s="17"/>
      <c r="J8" s="17"/>
      <c r="K8" s="17">
        <f t="shared" ref="K8:K14" si="0">SUM(C8:J8)</f>
        <v>60</v>
      </c>
    </row>
    <row r="9" spans="1:11" ht="14.25" customHeight="1" x14ac:dyDescent="0.2">
      <c r="A9">
        <v>4</v>
      </c>
      <c r="B9" s="17" t="s">
        <v>86</v>
      </c>
      <c r="C9" s="17"/>
      <c r="D9" s="17"/>
      <c r="E9" s="17"/>
      <c r="F9" s="17"/>
      <c r="G9" s="17"/>
      <c r="H9" s="17"/>
      <c r="I9" s="17"/>
      <c r="J9" s="17"/>
      <c r="K9" s="17">
        <f t="shared" si="0"/>
        <v>0</v>
      </c>
    </row>
    <row r="10" spans="1:11" ht="14.25" customHeight="1" x14ac:dyDescent="0.2">
      <c r="A10">
        <v>5</v>
      </c>
      <c r="B10" s="17" t="s">
        <v>87</v>
      </c>
      <c r="C10" s="17"/>
      <c r="D10" s="17"/>
      <c r="E10" s="17"/>
      <c r="F10" s="17"/>
      <c r="G10" s="17"/>
      <c r="H10" s="17"/>
      <c r="I10" s="17"/>
      <c r="J10" s="17"/>
      <c r="K10" s="17">
        <f t="shared" si="0"/>
        <v>0</v>
      </c>
    </row>
    <row r="11" spans="1:11" ht="14.25" customHeight="1" x14ac:dyDescent="0.2">
      <c r="A11">
        <v>6</v>
      </c>
      <c r="B11" s="17" t="s">
        <v>88</v>
      </c>
      <c r="C11" s="17"/>
      <c r="D11" s="17"/>
      <c r="E11" s="17"/>
      <c r="F11" s="17"/>
      <c r="G11" s="17"/>
      <c r="H11" s="17"/>
      <c r="I11" s="17"/>
      <c r="J11" s="17"/>
      <c r="K11" s="17">
        <f t="shared" si="0"/>
        <v>0</v>
      </c>
    </row>
    <row r="12" spans="1:11" ht="14.25" customHeight="1" x14ac:dyDescent="0.2">
      <c r="A12">
        <v>7</v>
      </c>
      <c r="B12" s="17" t="s">
        <v>89</v>
      </c>
      <c r="C12" s="17">
        <v>60</v>
      </c>
      <c r="D12" s="17">
        <v>60</v>
      </c>
      <c r="E12" s="17"/>
      <c r="F12" s="17"/>
      <c r="G12" s="17"/>
      <c r="H12" s="17"/>
      <c r="I12" s="17"/>
      <c r="J12" s="17"/>
      <c r="K12" s="17">
        <f t="shared" si="0"/>
        <v>120</v>
      </c>
    </row>
    <row r="13" spans="1:11" ht="14.25" customHeight="1" x14ac:dyDescent="0.2">
      <c r="A13">
        <v>8</v>
      </c>
      <c r="B13" s="17" t="s">
        <v>90</v>
      </c>
      <c r="C13" s="17"/>
      <c r="D13" s="17"/>
      <c r="E13" s="17"/>
      <c r="F13" s="17"/>
      <c r="G13" s="17"/>
      <c r="H13" s="17"/>
      <c r="I13" s="17"/>
      <c r="J13" s="17"/>
      <c r="K13" s="17">
        <f t="shared" si="0"/>
        <v>0</v>
      </c>
    </row>
    <row r="14" spans="1:11" ht="14.25" customHeight="1" x14ac:dyDescent="0.2">
      <c r="A14">
        <v>9</v>
      </c>
      <c r="B14" s="17" t="s">
        <v>91</v>
      </c>
      <c r="C14" s="17"/>
      <c r="D14" s="17"/>
      <c r="E14" s="17">
        <v>350</v>
      </c>
      <c r="F14" s="17">
        <v>90</v>
      </c>
      <c r="G14" s="17"/>
      <c r="H14" s="17"/>
      <c r="I14" s="17"/>
      <c r="J14" s="17"/>
      <c r="K14" s="17">
        <f t="shared" si="0"/>
        <v>440</v>
      </c>
    </row>
    <row r="15" spans="1:11" ht="14.25" customHeight="1" x14ac:dyDescent="0.2">
      <c r="A15">
        <v>10</v>
      </c>
      <c r="B15" s="17" t="s">
        <v>92</v>
      </c>
      <c r="C15" s="17">
        <f t="shared" ref="C15:K15" si="1">SUM(C7:C14)</f>
        <v>120</v>
      </c>
      <c r="D15" s="17">
        <f t="shared" si="1"/>
        <v>60</v>
      </c>
      <c r="E15" s="17">
        <f t="shared" si="1"/>
        <v>350</v>
      </c>
      <c r="F15" s="17">
        <f t="shared" si="1"/>
        <v>90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0</v>
      </c>
      <c r="K15" s="17">
        <f t="shared" si="1"/>
        <v>620</v>
      </c>
    </row>
    <row r="16" spans="1:11" ht="42.75" customHeight="1" x14ac:dyDescent="0.2">
      <c r="A16">
        <v>11</v>
      </c>
      <c r="B16" s="23" t="s">
        <v>93</v>
      </c>
      <c r="D16" s="24"/>
    </row>
    <row r="17" spans="1:11" ht="14.25" customHeight="1" x14ac:dyDescent="0.2">
      <c r="A17">
        <v>12</v>
      </c>
      <c r="B17" t="s">
        <v>94</v>
      </c>
    </row>
    <row r="18" spans="1:11" ht="14.25" customHeight="1" x14ac:dyDescent="0.2">
      <c r="A18">
        <v>13</v>
      </c>
      <c r="B18" s="17" t="s">
        <v>92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</row>
    <row r="19" spans="1:11" ht="14.25" customHeight="1" x14ac:dyDescent="0.2">
      <c r="A19">
        <v>14</v>
      </c>
      <c r="B19" s="17" t="s">
        <v>95</v>
      </c>
      <c r="C19" s="17">
        <f>MEDIAN(C8:C14)</f>
        <v>60</v>
      </c>
      <c r="D19" s="17">
        <f>MEDIAN(D8:D14)</f>
        <v>60</v>
      </c>
      <c r="E19" s="17">
        <f>MEDIAN(E8:E14)</f>
        <v>350</v>
      </c>
      <c r="F19" s="17">
        <f>MEDIAN(F8:F14)</f>
        <v>90</v>
      </c>
      <c r="G19" s="17">
        <f>IFERROR(MEDIAN(G8:G14),0)</f>
        <v>0</v>
      </c>
      <c r="H19" s="17">
        <f>IFERROR(MEDIAN(H8:H14),0)</f>
        <v>0</v>
      </c>
      <c r="I19" s="17">
        <f>IFERROR(MEDIAN(I8:I14),0)</f>
        <v>0</v>
      </c>
      <c r="J19" s="17">
        <f>IFERROR(MEDIAN(J8:J14),0)</f>
        <v>0</v>
      </c>
      <c r="K19" s="17">
        <f>MEDIAN(K8:K14)</f>
        <v>0</v>
      </c>
    </row>
    <row r="20" spans="1:11" ht="14.25" customHeight="1" x14ac:dyDescent="0.2">
      <c r="A20">
        <v>15</v>
      </c>
      <c r="B20" s="17" t="s">
        <v>96</v>
      </c>
      <c r="C20" s="17">
        <f t="shared" ref="C20:K20" si="2">MAX(C8:C14)</f>
        <v>60</v>
      </c>
      <c r="D20" s="17">
        <f t="shared" si="2"/>
        <v>60</v>
      </c>
      <c r="E20" s="17">
        <f t="shared" si="2"/>
        <v>350</v>
      </c>
      <c r="F20" s="17">
        <f t="shared" si="2"/>
        <v>90</v>
      </c>
      <c r="G20" s="17">
        <f t="shared" si="2"/>
        <v>0</v>
      </c>
      <c r="H20" s="17">
        <f t="shared" si="2"/>
        <v>0</v>
      </c>
      <c r="I20" s="17">
        <f t="shared" si="2"/>
        <v>0</v>
      </c>
      <c r="J20" s="17">
        <f t="shared" si="2"/>
        <v>0</v>
      </c>
      <c r="K20" s="17">
        <f t="shared" si="2"/>
        <v>440</v>
      </c>
    </row>
    <row r="21" spans="1:11" ht="14.25" customHeight="1" x14ac:dyDescent="0.2">
      <c r="A21">
        <v>16</v>
      </c>
      <c r="B21" s="17" t="s">
        <v>97</v>
      </c>
      <c r="C21" s="17">
        <f t="shared" ref="C21:K21" si="3">MIN(C8:C14)</f>
        <v>60</v>
      </c>
      <c r="D21" s="17">
        <f t="shared" si="3"/>
        <v>60</v>
      </c>
      <c r="E21" s="17">
        <f t="shared" si="3"/>
        <v>350</v>
      </c>
      <c r="F21" s="17">
        <f t="shared" si="3"/>
        <v>90</v>
      </c>
      <c r="G21" s="17">
        <f t="shared" si="3"/>
        <v>0</v>
      </c>
      <c r="H21" s="17">
        <f t="shared" si="3"/>
        <v>0</v>
      </c>
      <c r="I21" s="17">
        <f t="shared" si="3"/>
        <v>0</v>
      </c>
      <c r="J21" s="17">
        <f t="shared" si="3"/>
        <v>0</v>
      </c>
      <c r="K21" s="17">
        <f t="shared" si="3"/>
        <v>0</v>
      </c>
    </row>
    <row r="22" spans="1:11" ht="34.5" customHeight="1" x14ac:dyDescent="0.2">
      <c r="A22">
        <v>17</v>
      </c>
      <c r="B22" t="s">
        <v>98</v>
      </c>
    </row>
    <row r="23" spans="1:11" ht="14.25" customHeight="1" x14ac:dyDescent="0.2">
      <c r="A23">
        <v>18</v>
      </c>
      <c r="B23" s="17" t="s">
        <v>92</v>
      </c>
      <c r="C23" s="17">
        <f t="shared" ref="C23:K23" si="4">C18+C15</f>
        <v>120</v>
      </c>
      <c r="D23" s="17">
        <f t="shared" si="4"/>
        <v>60</v>
      </c>
      <c r="E23" s="17">
        <f t="shared" si="4"/>
        <v>350</v>
      </c>
      <c r="F23" s="17">
        <f t="shared" si="4"/>
        <v>90</v>
      </c>
      <c r="G23" s="17">
        <f t="shared" si="4"/>
        <v>0</v>
      </c>
      <c r="H23" s="17">
        <f t="shared" si="4"/>
        <v>0</v>
      </c>
      <c r="I23" s="17">
        <f t="shared" si="4"/>
        <v>0</v>
      </c>
      <c r="J23" s="17">
        <f t="shared" si="4"/>
        <v>0</v>
      </c>
      <c r="K23" s="17">
        <f t="shared" si="4"/>
        <v>620</v>
      </c>
    </row>
    <row r="24" spans="1:11" ht="14.25" customHeight="1" x14ac:dyDescent="0.2">
      <c r="A24">
        <v>19</v>
      </c>
      <c r="B24" s="17" t="s">
        <v>99</v>
      </c>
      <c r="C24" s="17">
        <f t="shared" ref="C24:K24" si="5">IFERROR(C23/COUNTIF(C8:C14,"&gt;"&amp;0),0)</f>
        <v>60</v>
      </c>
      <c r="D24" s="17">
        <f t="shared" si="5"/>
        <v>60</v>
      </c>
      <c r="E24" s="17">
        <f t="shared" si="5"/>
        <v>350</v>
      </c>
      <c r="F24" s="17">
        <f t="shared" si="5"/>
        <v>90</v>
      </c>
      <c r="G24" s="17">
        <f t="shared" si="5"/>
        <v>0</v>
      </c>
      <c r="H24" s="17">
        <f t="shared" si="5"/>
        <v>0</v>
      </c>
      <c r="I24" s="17">
        <f t="shared" si="5"/>
        <v>0</v>
      </c>
      <c r="J24" s="17">
        <f t="shared" si="5"/>
        <v>0</v>
      </c>
      <c r="K24" s="17">
        <f t="shared" si="5"/>
        <v>206.66666666666666</v>
      </c>
    </row>
    <row r="25" spans="1:11" ht="14.25" customHeight="1" x14ac:dyDescent="0.2">
      <c r="A25">
        <v>20</v>
      </c>
      <c r="B25" s="17" t="s">
        <v>96</v>
      </c>
      <c r="C25" s="17">
        <f t="shared" ref="C25:K25" si="6">MAX(C8:C14)</f>
        <v>60</v>
      </c>
      <c r="D25" s="17">
        <f t="shared" si="6"/>
        <v>60</v>
      </c>
      <c r="E25" s="17">
        <f t="shared" si="6"/>
        <v>350</v>
      </c>
      <c r="F25" s="17">
        <f t="shared" si="6"/>
        <v>90</v>
      </c>
      <c r="G25" s="17">
        <f t="shared" si="6"/>
        <v>0</v>
      </c>
      <c r="H25" s="17">
        <f t="shared" si="6"/>
        <v>0</v>
      </c>
      <c r="I25" s="17">
        <f t="shared" si="6"/>
        <v>0</v>
      </c>
      <c r="J25" s="17">
        <f t="shared" si="6"/>
        <v>0</v>
      </c>
      <c r="K25" s="17">
        <f t="shared" si="6"/>
        <v>440</v>
      </c>
    </row>
    <row r="26" spans="1:11" ht="14.25" customHeight="1" x14ac:dyDescent="0.2">
      <c r="A26">
        <v>21</v>
      </c>
      <c r="B26" s="17" t="s">
        <v>100</v>
      </c>
      <c r="C26" s="17">
        <f ca="1">IFERROR(_xludf.minifs(C8:C14,C8:C14,"&gt;"&amp;0),0)</f>
        <v>0</v>
      </c>
      <c r="D26" s="17">
        <f ca="1">IFERROR(_xludf.minifs(D8:D14,D8:D14,"&gt;"&amp;0),0)</f>
        <v>0</v>
      </c>
      <c r="E26" s="17">
        <f ca="1">IFERROR(_xludf.minifs(E8:E14,E8:E14,"&gt;"&amp;0),0)</f>
        <v>0</v>
      </c>
      <c r="F26" s="17">
        <f ca="1">IFERROR(_xludf.minifs(F8:F14,F8:F14,"&gt;"&amp;0),0)</f>
        <v>0</v>
      </c>
      <c r="G26" s="17">
        <f ca="1">IFERROR(_xludf.minifs(G8:G14,G8:G14,"&gt;"&amp;0),0)</f>
        <v>0</v>
      </c>
      <c r="H26" s="17">
        <f ca="1">IFERROR(_xludf.minifs(H8:H14,H8:H14,"&gt;"&amp;0),0)</f>
        <v>0</v>
      </c>
      <c r="I26" s="17">
        <f ca="1">IFERROR(_xludf.minifs(I8:I14,I8:I14,"&gt;"&amp;0),0)</f>
        <v>0</v>
      </c>
      <c r="J26" s="17">
        <f ca="1">IFERROR(_xludf.minifs(J8:J14,J8:J14,"&gt;"&amp;0),0)</f>
        <v>0</v>
      </c>
      <c r="K26" s="17">
        <f ca="1">IFERROR(_xludf.minifs(K8:K14,K8:K14,"&gt;"&amp;0),0)</f>
        <v>0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zoomScaleNormal="100" workbookViewId="0"/>
  </sheetViews>
  <sheetFormatPr baseColWidth="10" defaultColWidth="8.6640625" defaultRowHeight="15" x14ac:dyDescent="0.2"/>
  <cols>
    <col min="2" max="2" width="16.83203125" customWidth="1"/>
    <col min="3" max="3" width="15.83203125" customWidth="1"/>
  </cols>
  <sheetData>
    <row r="1" spans="1:11" ht="38.25" customHeight="1" x14ac:dyDescent="0.2"/>
    <row r="2" spans="1:11" ht="38.25" customHeight="1" x14ac:dyDescent="0.45">
      <c r="F2" s="21" t="s">
        <v>101</v>
      </c>
    </row>
    <row r="5" spans="1:11" ht="14.25" customHeight="1" x14ac:dyDescent="0.2">
      <c r="B5" t="s">
        <v>72</v>
      </c>
      <c r="C5" t="s">
        <v>4</v>
      </c>
    </row>
    <row r="6" spans="1:11" ht="14.25" customHeight="1" x14ac:dyDescent="0.2">
      <c r="A6">
        <v>1</v>
      </c>
      <c r="B6" s="17" t="s">
        <v>102</v>
      </c>
      <c r="C6" s="17" t="s">
        <v>75</v>
      </c>
      <c r="D6" s="17" t="s">
        <v>76</v>
      </c>
      <c r="E6" s="17" t="s">
        <v>77</v>
      </c>
      <c r="F6" s="17" t="s">
        <v>78</v>
      </c>
      <c r="G6" s="17" t="s">
        <v>103</v>
      </c>
      <c r="H6" s="17" t="s">
        <v>80</v>
      </c>
      <c r="I6" s="17" t="s">
        <v>81</v>
      </c>
      <c r="J6" s="17" t="s">
        <v>104</v>
      </c>
      <c r="K6" s="22" t="s">
        <v>83</v>
      </c>
    </row>
    <row r="7" spans="1:11" ht="14.25" customHeight="1" x14ac:dyDescent="0.2">
      <c r="A7">
        <v>2</v>
      </c>
      <c r="B7" s="17" t="s">
        <v>105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</row>
    <row r="8" spans="1:11" ht="14.25" customHeight="1" x14ac:dyDescent="0.2">
      <c r="A8">
        <v>3</v>
      </c>
      <c r="B8" s="17" t="s">
        <v>106</v>
      </c>
      <c r="C8" s="17">
        <f>'Resumen Semanal de Actividades'!C15</f>
        <v>120</v>
      </c>
      <c r="D8" s="17">
        <f>'Resumen Semanal de Actividades'!D15</f>
        <v>60</v>
      </c>
      <c r="E8" s="17">
        <f>'Resumen Semanal de Actividades'!E15</f>
        <v>350</v>
      </c>
      <c r="F8" s="17">
        <f>'Resumen Semanal de Actividades'!F15</f>
        <v>90</v>
      </c>
      <c r="G8" s="17">
        <f>'Resumen Semanal de Actividades'!G15</f>
        <v>0</v>
      </c>
      <c r="H8" s="17">
        <f>'Resumen Semanal de Actividades'!H15</f>
        <v>0</v>
      </c>
      <c r="I8" s="17">
        <f>'Resumen Semanal de Actividades'!I15</f>
        <v>0</v>
      </c>
      <c r="J8" s="17">
        <f>'Resumen Semanal de Actividades'!J15</f>
        <v>0</v>
      </c>
      <c r="K8" s="17">
        <f>'Resumen Semanal de Actividades'!K15</f>
        <v>620</v>
      </c>
    </row>
    <row r="9" spans="1:11" ht="14.25" customHeight="1" x14ac:dyDescent="0.2">
      <c r="A9">
        <v>4</v>
      </c>
      <c r="B9" s="17" t="s">
        <v>107</v>
      </c>
      <c r="C9" s="17">
        <f t="shared" ref="C9:K9" si="0">SUM(C7:C8)</f>
        <v>120</v>
      </c>
      <c r="D9" s="17">
        <f t="shared" si="0"/>
        <v>60</v>
      </c>
      <c r="E9" s="17">
        <f t="shared" si="0"/>
        <v>350</v>
      </c>
      <c r="F9" s="17">
        <f t="shared" si="0"/>
        <v>90</v>
      </c>
      <c r="G9" s="17">
        <f t="shared" si="0"/>
        <v>0</v>
      </c>
      <c r="H9" s="17">
        <f t="shared" si="0"/>
        <v>0</v>
      </c>
      <c r="I9" s="17">
        <f t="shared" si="0"/>
        <v>0</v>
      </c>
      <c r="J9" s="17">
        <f t="shared" si="0"/>
        <v>0</v>
      </c>
      <c r="K9" s="17">
        <f t="shared" si="0"/>
        <v>620</v>
      </c>
    </row>
    <row r="10" spans="1:11" ht="30" customHeight="1" x14ac:dyDescent="0.2">
      <c r="A10">
        <v>6</v>
      </c>
      <c r="B10" s="17" t="s">
        <v>108</v>
      </c>
      <c r="C10" s="17">
        <f>'Resumen Sem 2'!C15</f>
        <v>0</v>
      </c>
      <c r="D10" s="17">
        <f>'Resumen Sem 2'!D15</f>
        <v>0</v>
      </c>
      <c r="E10" s="17">
        <f>'Resumen Sem 2'!E15</f>
        <v>0</v>
      </c>
      <c r="F10" s="17">
        <f>'Resumen Sem 2'!F15</f>
        <v>0</v>
      </c>
      <c r="G10" s="17">
        <f>'Resumen Sem 2'!G15</f>
        <v>60</v>
      </c>
      <c r="H10" s="17">
        <f>'Resumen Sem 2'!H15</f>
        <v>55</v>
      </c>
      <c r="I10" s="17">
        <f>'Resumen Sem 2'!I15</f>
        <v>420</v>
      </c>
      <c r="J10" s="17">
        <f>'Resumen Sem 2'!J15</f>
        <v>0</v>
      </c>
      <c r="K10" s="17">
        <f>'Resumen Sem 2'!K15</f>
        <v>535</v>
      </c>
    </row>
    <row r="11" spans="1:11" ht="15" customHeight="1" x14ac:dyDescent="0.2">
      <c r="A11">
        <v>7</v>
      </c>
      <c r="B11" s="17" t="s">
        <v>109</v>
      </c>
      <c r="C11" s="17">
        <f t="shared" ref="C11:K11" si="1">SUM(C7:C10)</f>
        <v>240</v>
      </c>
      <c r="D11" s="17">
        <f t="shared" si="1"/>
        <v>120</v>
      </c>
      <c r="E11" s="17">
        <f t="shared" si="1"/>
        <v>700</v>
      </c>
      <c r="F11" s="17">
        <f t="shared" si="1"/>
        <v>180</v>
      </c>
      <c r="G11" s="17">
        <f t="shared" si="1"/>
        <v>60</v>
      </c>
      <c r="H11" s="17">
        <f t="shared" si="1"/>
        <v>55</v>
      </c>
      <c r="I11" s="17">
        <f t="shared" si="1"/>
        <v>420</v>
      </c>
      <c r="J11" s="17">
        <f t="shared" si="1"/>
        <v>0</v>
      </c>
      <c r="K11" s="17">
        <f t="shared" si="1"/>
        <v>1775</v>
      </c>
    </row>
    <row r="12" spans="1:11" ht="15" customHeight="1" x14ac:dyDescent="0.2">
      <c r="A12">
        <v>8</v>
      </c>
      <c r="B12" s="17" t="s">
        <v>110</v>
      </c>
      <c r="C12" s="17">
        <f>'Resumen Sem 3'!C15</f>
        <v>0</v>
      </c>
      <c r="D12" s="17">
        <f>'Resumen Sem 3'!D15</f>
        <v>0</v>
      </c>
      <c r="E12" s="17">
        <f>'Resumen Sem 3'!E15</f>
        <v>0</v>
      </c>
      <c r="F12" s="17">
        <f>'Resumen Sem 3'!F15</f>
        <v>0</v>
      </c>
      <c r="G12" s="17">
        <f>'Resumen Sem 3'!G15</f>
        <v>0</v>
      </c>
      <c r="H12" s="17">
        <f>'Resumen Sem 3'!H15</f>
        <v>0</v>
      </c>
      <c r="I12" s="17">
        <f>'Resumen Sem 3'!I15</f>
        <v>285</v>
      </c>
      <c r="J12" s="17">
        <f>'Resumen Sem 3'!J15</f>
        <v>60</v>
      </c>
      <c r="K12" s="17">
        <f>'Resumen Sem 3'!K15</f>
        <v>345</v>
      </c>
    </row>
    <row r="13" spans="1:11" ht="15" customHeight="1" x14ac:dyDescent="0.2">
      <c r="A13">
        <v>9</v>
      </c>
      <c r="B13" s="17" t="s">
        <v>111</v>
      </c>
      <c r="C13" s="17">
        <f t="shared" ref="C13:K13" si="2">SUM(C7:C12)</f>
        <v>480</v>
      </c>
      <c r="D13" s="17">
        <f t="shared" si="2"/>
        <v>240</v>
      </c>
      <c r="E13" s="17">
        <f t="shared" si="2"/>
        <v>1400</v>
      </c>
      <c r="F13" s="17">
        <f t="shared" si="2"/>
        <v>360</v>
      </c>
      <c r="G13" s="17">
        <f t="shared" si="2"/>
        <v>120</v>
      </c>
      <c r="H13" s="17">
        <f t="shared" si="2"/>
        <v>110</v>
      </c>
      <c r="I13" s="17">
        <f t="shared" si="2"/>
        <v>1125</v>
      </c>
      <c r="J13" s="17">
        <f t="shared" si="2"/>
        <v>60</v>
      </c>
      <c r="K13" s="17">
        <f t="shared" si="2"/>
        <v>3895</v>
      </c>
    </row>
    <row r="14" spans="1:11" ht="30" customHeight="1" x14ac:dyDescent="0.2">
      <c r="B14" t="s">
        <v>112</v>
      </c>
      <c r="C14">
        <f>'Resumen Sem 4'!C15</f>
        <v>0</v>
      </c>
      <c r="D14">
        <f>'Resumen Sem 4'!D15</f>
        <v>0</v>
      </c>
      <c r="E14">
        <f>'Resumen Sem 4'!E15</f>
        <v>0</v>
      </c>
      <c r="F14">
        <f>'Resumen Sem 4'!F15</f>
        <v>0</v>
      </c>
      <c r="G14">
        <f>'Resumen Sem 4'!G15</f>
        <v>0</v>
      </c>
      <c r="H14">
        <f>'Resumen Sem 4'!H15</f>
        <v>0</v>
      </c>
      <c r="I14">
        <f>'Resumen Sem 4'!I15</f>
        <v>0</v>
      </c>
      <c r="J14">
        <f>'Resumen Sem 4'!J15</f>
        <v>210</v>
      </c>
      <c r="K14">
        <f>'Resumen Sem 4'!K15</f>
        <v>210</v>
      </c>
    </row>
    <row r="15" spans="1:11" ht="15" customHeight="1" x14ac:dyDescent="0.2">
      <c r="B15" t="s">
        <v>113</v>
      </c>
      <c r="C15">
        <f t="shared" ref="C15:K15" si="3">SUM(C7:C14)</f>
        <v>960</v>
      </c>
      <c r="D15">
        <f t="shared" si="3"/>
        <v>480</v>
      </c>
      <c r="E15">
        <f t="shared" si="3"/>
        <v>2800</v>
      </c>
      <c r="F15">
        <f t="shared" si="3"/>
        <v>720</v>
      </c>
      <c r="G15">
        <f t="shared" si="3"/>
        <v>240</v>
      </c>
      <c r="H15">
        <f t="shared" si="3"/>
        <v>220</v>
      </c>
      <c r="I15">
        <f t="shared" si="3"/>
        <v>2250</v>
      </c>
      <c r="J15">
        <f t="shared" si="3"/>
        <v>330</v>
      </c>
      <c r="K15">
        <f t="shared" si="3"/>
        <v>8000</v>
      </c>
    </row>
    <row r="16" spans="1:11" ht="63.75" customHeight="1" x14ac:dyDescent="0.2">
      <c r="A16">
        <v>10</v>
      </c>
      <c r="B16" s="25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zoomScaleNormal="100" workbookViewId="0"/>
  </sheetViews>
  <sheetFormatPr baseColWidth="10" defaultColWidth="14.5" defaultRowHeight="15" x14ac:dyDescent="0.2"/>
  <cols>
    <col min="2" max="2" width="16.83203125" customWidth="1"/>
    <col min="3" max="3" width="15.83203125" customWidth="1"/>
  </cols>
  <sheetData>
    <row r="1" spans="1:11" ht="38.25" customHeight="1" x14ac:dyDescent="0.45">
      <c r="E1" s="20"/>
      <c r="F1" s="21"/>
    </row>
    <row r="2" spans="1:11" ht="38.25" customHeight="1" x14ac:dyDescent="0.45">
      <c r="E2" s="20"/>
      <c r="F2" s="21" t="s">
        <v>71</v>
      </c>
    </row>
    <row r="5" spans="1:11" ht="14.25" customHeight="1" x14ac:dyDescent="0.2">
      <c r="B5" t="s">
        <v>72</v>
      </c>
      <c r="C5" t="s">
        <v>4</v>
      </c>
      <c r="I5" t="s">
        <v>115</v>
      </c>
    </row>
    <row r="6" spans="1:11" ht="14.25" customHeight="1" x14ac:dyDescent="0.2">
      <c r="A6">
        <v>1</v>
      </c>
      <c r="B6" s="17" t="s">
        <v>74</v>
      </c>
      <c r="C6" s="17" t="s">
        <v>75</v>
      </c>
      <c r="D6" s="17" t="s">
        <v>76</v>
      </c>
      <c r="E6" s="17" t="s">
        <v>77</v>
      </c>
      <c r="F6" s="17" t="s">
        <v>78</v>
      </c>
      <c r="G6" s="17" t="s">
        <v>103</v>
      </c>
      <c r="H6" s="17" t="s">
        <v>80</v>
      </c>
      <c r="I6" s="17" t="s">
        <v>81</v>
      </c>
      <c r="J6" s="17" t="s">
        <v>116</v>
      </c>
      <c r="K6" s="22" t="s">
        <v>83</v>
      </c>
    </row>
    <row r="7" spans="1:11" ht="14.25" customHeight="1" x14ac:dyDescent="0.2">
      <c r="A7">
        <v>2</v>
      </c>
      <c r="B7" s="17" t="s">
        <v>84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ht="14.25" customHeight="1" x14ac:dyDescent="0.2">
      <c r="A8">
        <v>3</v>
      </c>
      <c r="B8" s="17" t="s">
        <v>117</v>
      </c>
      <c r="C8" s="17"/>
      <c r="D8" s="17"/>
      <c r="E8" s="17"/>
      <c r="F8" s="17"/>
      <c r="G8" s="17"/>
      <c r="H8" s="17"/>
      <c r="I8" s="17"/>
      <c r="J8" s="17"/>
      <c r="K8" s="17">
        <f t="shared" ref="K8:K14" si="0">SUM(C8:J8)</f>
        <v>0</v>
      </c>
    </row>
    <row r="9" spans="1:11" ht="14.25" customHeight="1" x14ac:dyDescent="0.2">
      <c r="A9">
        <v>4</v>
      </c>
      <c r="B9" s="17" t="s">
        <v>118</v>
      </c>
      <c r="C9" s="17"/>
      <c r="D9" s="17"/>
      <c r="E9" s="17"/>
      <c r="F9" s="17"/>
      <c r="G9" s="17"/>
      <c r="H9" s="17"/>
      <c r="I9" s="17"/>
      <c r="J9" s="17"/>
      <c r="K9" s="17">
        <f t="shared" si="0"/>
        <v>0</v>
      </c>
    </row>
    <row r="10" spans="1:11" ht="14.25" customHeight="1" x14ac:dyDescent="0.2">
      <c r="A10">
        <v>5</v>
      </c>
      <c r="B10" s="17" t="s">
        <v>119</v>
      </c>
      <c r="C10" s="17"/>
      <c r="D10" s="17"/>
      <c r="E10" s="17"/>
      <c r="F10" s="17"/>
      <c r="G10" s="17"/>
      <c r="H10" s="17">
        <v>55</v>
      </c>
      <c r="I10" s="17"/>
      <c r="J10" s="17"/>
      <c r="K10" s="17">
        <f t="shared" si="0"/>
        <v>55</v>
      </c>
    </row>
    <row r="11" spans="1:11" ht="14.25" customHeight="1" x14ac:dyDescent="0.2">
      <c r="A11">
        <v>6</v>
      </c>
      <c r="B11" s="17" t="s">
        <v>120</v>
      </c>
      <c r="C11" s="17"/>
      <c r="D11" s="17"/>
      <c r="E11" s="17"/>
      <c r="F11" s="17"/>
      <c r="G11" s="17">
        <v>60</v>
      </c>
      <c r="H11" s="17"/>
      <c r="I11" s="17"/>
      <c r="J11" s="17"/>
      <c r="K11" s="17">
        <f t="shared" si="0"/>
        <v>60</v>
      </c>
    </row>
    <row r="12" spans="1:11" ht="14.25" customHeight="1" x14ac:dyDescent="0.2">
      <c r="A12">
        <v>7</v>
      </c>
      <c r="B12" s="17" t="s">
        <v>121</v>
      </c>
      <c r="C12" s="17"/>
      <c r="D12" s="17"/>
      <c r="E12" s="17"/>
      <c r="F12" s="17"/>
      <c r="G12" s="17"/>
      <c r="H12" s="17"/>
      <c r="I12" s="17"/>
      <c r="J12" s="17"/>
      <c r="K12" s="17">
        <f t="shared" si="0"/>
        <v>0</v>
      </c>
    </row>
    <row r="13" spans="1:11" ht="14.25" customHeight="1" x14ac:dyDescent="0.2">
      <c r="A13">
        <v>8</v>
      </c>
      <c r="B13" s="17" t="s">
        <v>122</v>
      </c>
      <c r="C13" s="17"/>
      <c r="D13" s="17"/>
      <c r="E13" s="17"/>
      <c r="F13" s="17"/>
      <c r="G13" s="17"/>
      <c r="H13" s="17"/>
      <c r="I13" s="17">
        <v>210</v>
      </c>
      <c r="J13" s="17"/>
      <c r="K13" s="17">
        <f t="shared" si="0"/>
        <v>210</v>
      </c>
    </row>
    <row r="14" spans="1:11" ht="14.25" customHeight="1" x14ac:dyDescent="0.2">
      <c r="A14">
        <v>9</v>
      </c>
      <c r="B14" s="17" t="s">
        <v>123</v>
      </c>
      <c r="C14" s="17"/>
      <c r="D14" s="17"/>
      <c r="E14" s="17"/>
      <c r="F14" s="17"/>
      <c r="G14" s="17"/>
      <c r="H14" s="17"/>
      <c r="I14" s="17">
        <v>210</v>
      </c>
      <c r="J14" s="17"/>
      <c r="K14" s="17">
        <f t="shared" si="0"/>
        <v>210</v>
      </c>
    </row>
    <row r="15" spans="1:11" ht="14.25" customHeight="1" x14ac:dyDescent="0.2">
      <c r="A15">
        <v>10</v>
      </c>
      <c r="B15" s="17" t="s">
        <v>92</v>
      </c>
      <c r="C15" s="17">
        <f t="shared" ref="C15:K15" si="1">SUM(C7:C14)</f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60</v>
      </c>
      <c r="H15" s="17">
        <f t="shared" si="1"/>
        <v>55</v>
      </c>
      <c r="I15" s="17">
        <f t="shared" si="1"/>
        <v>420</v>
      </c>
      <c r="J15" s="17">
        <f t="shared" si="1"/>
        <v>0</v>
      </c>
      <c r="K15" s="17">
        <f t="shared" si="1"/>
        <v>535</v>
      </c>
    </row>
    <row r="16" spans="1:11" ht="42.75" customHeight="1" x14ac:dyDescent="0.2">
      <c r="A16">
        <v>11</v>
      </c>
      <c r="B16" s="23" t="s">
        <v>93</v>
      </c>
      <c r="D16" s="24"/>
    </row>
    <row r="17" spans="1:11" ht="14.25" customHeight="1" x14ac:dyDescent="0.2">
      <c r="A17">
        <v>12</v>
      </c>
      <c r="B17" t="s">
        <v>94</v>
      </c>
    </row>
    <row r="18" spans="1:11" ht="14.25" customHeight="1" x14ac:dyDescent="0.2">
      <c r="A18">
        <v>13</v>
      </c>
      <c r="B18" s="17" t="s">
        <v>92</v>
      </c>
      <c r="C18" s="17">
        <v>120</v>
      </c>
      <c r="D18" s="17">
        <v>60</v>
      </c>
      <c r="E18" s="17">
        <v>350</v>
      </c>
      <c r="F18" s="17">
        <v>90</v>
      </c>
      <c r="G18" s="17">
        <v>0</v>
      </c>
      <c r="H18" s="17">
        <v>0</v>
      </c>
      <c r="I18" s="17">
        <v>0</v>
      </c>
      <c r="J18" s="17">
        <v>0</v>
      </c>
      <c r="K18" s="17">
        <v>620</v>
      </c>
    </row>
    <row r="19" spans="1:11" ht="14.25" customHeight="1" x14ac:dyDescent="0.2">
      <c r="A19">
        <v>14</v>
      </c>
      <c r="B19" s="17" t="s">
        <v>95</v>
      </c>
      <c r="C19" s="17">
        <f t="shared" ref="C19:J19" si="2">IFERROR(MEDIAN(C8:C14),0)</f>
        <v>0</v>
      </c>
      <c r="D19" s="17">
        <f t="shared" si="2"/>
        <v>0</v>
      </c>
      <c r="E19" s="17">
        <f t="shared" si="2"/>
        <v>0</v>
      </c>
      <c r="F19" s="17">
        <f t="shared" si="2"/>
        <v>0</v>
      </c>
      <c r="G19" s="17">
        <f t="shared" si="2"/>
        <v>60</v>
      </c>
      <c r="H19" s="17">
        <f t="shared" si="2"/>
        <v>55</v>
      </c>
      <c r="I19" s="17">
        <f t="shared" si="2"/>
        <v>210</v>
      </c>
      <c r="J19" s="17">
        <f t="shared" si="2"/>
        <v>0</v>
      </c>
      <c r="K19" s="17">
        <f>MEDIAN(K8:K14)</f>
        <v>55</v>
      </c>
    </row>
    <row r="20" spans="1:11" ht="14.25" customHeight="1" x14ac:dyDescent="0.2">
      <c r="A20">
        <v>15</v>
      </c>
      <c r="B20" s="17" t="s">
        <v>96</v>
      </c>
      <c r="C20" s="17">
        <f t="shared" ref="C20:K20" si="3">MAX(C8:C14)</f>
        <v>0</v>
      </c>
      <c r="D20" s="17">
        <f t="shared" si="3"/>
        <v>0</v>
      </c>
      <c r="E20" s="17">
        <f t="shared" si="3"/>
        <v>0</v>
      </c>
      <c r="F20" s="17">
        <f t="shared" si="3"/>
        <v>0</v>
      </c>
      <c r="G20" s="17">
        <f t="shared" si="3"/>
        <v>60</v>
      </c>
      <c r="H20" s="17">
        <f t="shared" si="3"/>
        <v>55</v>
      </c>
      <c r="I20" s="17">
        <f t="shared" si="3"/>
        <v>210</v>
      </c>
      <c r="J20" s="17">
        <f t="shared" si="3"/>
        <v>0</v>
      </c>
      <c r="K20" s="17">
        <f t="shared" si="3"/>
        <v>210</v>
      </c>
    </row>
    <row r="21" spans="1:11" ht="14.25" customHeight="1" x14ac:dyDescent="0.2">
      <c r="A21">
        <v>16</v>
      </c>
      <c r="B21" s="17" t="s">
        <v>97</v>
      </c>
      <c r="C21" s="17">
        <f t="shared" ref="C21:K21" si="4">MIN(C8:C14)</f>
        <v>0</v>
      </c>
      <c r="D21" s="17">
        <f t="shared" si="4"/>
        <v>0</v>
      </c>
      <c r="E21" s="17">
        <f t="shared" si="4"/>
        <v>0</v>
      </c>
      <c r="F21" s="17">
        <f t="shared" si="4"/>
        <v>0</v>
      </c>
      <c r="G21" s="17">
        <f t="shared" si="4"/>
        <v>60</v>
      </c>
      <c r="H21" s="17">
        <f t="shared" si="4"/>
        <v>55</v>
      </c>
      <c r="I21" s="17">
        <f t="shared" si="4"/>
        <v>210</v>
      </c>
      <c r="J21" s="17">
        <f t="shared" si="4"/>
        <v>0</v>
      </c>
      <c r="K21" s="17">
        <f t="shared" si="4"/>
        <v>0</v>
      </c>
    </row>
    <row r="22" spans="1:11" ht="34.5" customHeight="1" x14ac:dyDescent="0.2">
      <c r="A22">
        <v>17</v>
      </c>
      <c r="B22" t="s">
        <v>98</v>
      </c>
    </row>
    <row r="23" spans="1:11" ht="14.25" customHeight="1" x14ac:dyDescent="0.2">
      <c r="A23">
        <v>18</v>
      </c>
      <c r="B23" s="17" t="s">
        <v>92</v>
      </c>
      <c r="C23" s="17">
        <f t="shared" ref="C23:K23" si="5">C18+C15</f>
        <v>120</v>
      </c>
      <c r="D23" s="17">
        <f t="shared" si="5"/>
        <v>60</v>
      </c>
      <c r="E23" s="17">
        <f t="shared" si="5"/>
        <v>350</v>
      </c>
      <c r="F23" s="17">
        <f t="shared" si="5"/>
        <v>90</v>
      </c>
      <c r="G23" s="17">
        <f t="shared" si="5"/>
        <v>60</v>
      </c>
      <c r="H23" s="17">
        <f t="shared" si="5"/>
        <v>55</v>
      </c>
      <c r="I23" s="17">
        <f t="shared" si="5"/>
        <v>420</v>
      </c>
      <c r="J23" s="17">
        <f t="shared" si="5"/>
        <v>0</v>
      </c>
      <c r="K23" s="17">
        <f t="shared" si="5"/>
        <v>1155</v>
      </c>
    </row>
    <row r="24" spans="1:11" ht="14.25" customHeight="1" x14ac:dyDescent="0.2">
      <c r="A24">
        <v>19</v>
      </c>
      <c r="B24" s="17" t="s">
        <v>99</v>
      </c>
      <c r="C24" s="17">
        <f t="shared" ref="C24:K24" si="6">IFERROR(C23/COUNTIF(C8:C14,"&gt;"&amp;0),0)</f>
        <v>0</v>
      </c>
      <c r="D24" s="17">
        <f t="shared" si="6"/>
        <v>0</v>
      </c>
      <c r="E24" s="17">
        <f t="shared" si="6"/>
        <v>0</v>
      </c>
      <c r="F24" s="17">
        <f t="shared" si="6"/>
        <v>0</v>
      </c>
      <c r="G24" s="17">
        <f t="shared" si="6"/>
        <v>60</v>
      </c>
      <c r="H24" s="17">
        <f t="shared" si="6"/>
        <v>55</v>
      </c>
      <c r="I24" s="17">
        <f t="shared" si="6"/>
        <v>210</v>
      </c>
      <c r="J24" s="17">
        <f t="shared" si="6"/>
        <v>0</v>
      </c>
      <c r="K24" s="17">
        <f t="shared" si="6"/>
        <v>288.75</v>
      </c>
    </row>
    <row r="25" spans="1:11" ht="14.25" customHeight="1" x14ac:dyDescent="0.2">
      <c r="A25">
        <v>20</v>
      </c>
      <c r="B25" s="17" t="s">
        <v>96</v>
      </c>
      <c r="C25" s="17">
        <f t="shared" ref="C25:K25" si="7">MAX(C8:C14)</f>
        <v>0</v>
      </c>
      <c r="D25" s="17">
        <f t="shared" si="7"/>
        <v>0</v>
      </c>
      <c r="E25" s="17">
        <f t="shared" si="7"/>
        <v>0</v>
      </c>
      <c r="F25" s="17">
        <f t="shared" si="7"/>
        <v>0</v>
      </c>
      <c r="G25" s="17">
        <f t="shared" si="7"/>
        <v>60</v>
      </c>
      <c r="H25" s="17">
        <f t="shared" si="7"/>
        <v>55</v>
      </c>
      <c r="I25" s="17">
        <f t="shared" si="7"/>
        <v>210</v>
      </c>
      <c r="J25" s="17">
        <f t="shared" si="7"/>
        <v>0</v>
      </c>
      <c r="K25" s="17">
        <f t="shared" si="7"/>
        <v>210</v>
      </c>
    </row>
    <row r="26" spans="1:11" ht="14.25" customHeight="1" x14ac:dyDescent="0.2">
      <c r="A26">
        <v>21</v>
      </c>
      <c r="B26" s="17" t="s">
        <v>100</v>
      </c>
      <c r="C26" s="17">
        <f ca="1">IFERROR(_xludf.minifs(C8:C14,C8:C14,"&gt;"&amp;0),0)</f>
        <v>0</v>
      </c>
      <c r="D26" s="17">
        <f ca="1">IFERROR(_xludf.minifs(D8:D14,D8:D14,"&gt;"&amp;0),0)</f>
        <v>0</v>
      </c>
      <c r="E26" s="17">
        <f ca="1">IFERROR(_xludf.minifs(E8:E14,E8:E14,"&gt;"&amp;0),0)</f>
        <v>0</v>
      </c>
      <c r="F26" s="17">
        <f ca="1">IFERROR(_xludf.minifs(F8:F14,F8:F14,"&gt;"&amp;0),0)</f>
        <v>0</v>
      </c>
      <c r="G26" s="17">
        <f ca="1">IFERROR(_xludf.minifs(G8:G14,G8:G14,"&gt;"&amp;0),0)</f>
        <v>0</v>
      </c>
      <c r="H26" s="17">
        <f ca="1">IFERROR(_xludf.minifs(H8:H14,H8:H14,"&gt;"&amp;0),0)</f>
        <v>0</v>
      </c>
      <c r="I26" s="17">
        <f ca="1">IFERROR(_xludf.minifs(I8:I14,I8:I14,"&gt;"&amp;0),0)</f>
        <v>0</v>
      </c>
      <c r="J26" s="17">
        <f ca="1">IFERROR(_xludf.minifs(J8:J14,J8:J14,"&gt;"&amp;0),0)</f>
        <v>0</v>
      </c>
      <c r="K26" s="17">
        <f ca="1">IFERROR(_xludf.minifs(K8:K14,K8:K14,"&gt;"&amp;0),0)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zoomScaleNormal="100" workbookViewId="0"/>
  </sheetViews>
  <sheetFormatPr baseColWidth="10" defaultColWidth="14.5" defaultRowHeight="15" x14ac:dyDescent="0.2"/>
  <cols>
    <col min="2" max="2" width="16.83203125" customWidth="1"/>
    <col min="3" max="3" width="15.83203125" customWidth="1"/>
  </cols>
  <sheetData>
    <row r="1" spans="1:11" ht="38.25" customHeight="1" x14ac:dyDescent="0.45">
      <c r="E1" s="20"/>
      <c r="F1" s="21"/>
    </row>
    <row r="2" spans="1:11" ht="38.25" customHeight="1" x14ac:dyDescent="0.45">
      <c r="E2" s="20"/>
      <c r="F2" s="21" t="s">
        <v>71</v>
      </c>
    </row>
    <row r="5" spans="1:11" ht="14.25" customHeight="1" x14ac:dyDescent="0.2">
      <c r="B5" t="s">
        <v>72</v>
      </c>
      <c r="C5" t="s">
        <v>4</v>
      </c>
      <c r="I5" t="s">
        <v>124</v>
      </c>
    </row>
    <row r="6" spans="1:11" ht="14.25" customHeight="1" x14ac:dyDescent="0.2">
      <c r="A6">
        <v>1</v>
      </c>
      <c r="B6" s="17" t="s">
        <v>74</v>
      </c>
      <c r="C6" s="17" t="s">
        <v>75</v>
      </c>
      <c r="D6" s="17" t="s">
        <v>76</v>
      </c>
      <c r="E6" s="17" t="s">
        <v>77</v>
      </c>
      <c r="F6" s="17" t="s">
        <v>78</v>
      </c>
      <c r="G6" s="17" t="s">
        <v>103</v>
      </c>
      <c r="H6" s="17" t="s">
        <v>80</v>
      </c>
      <c r="I6" s="17" t="s">
        <v>81</v>
      </c>
      <c r="J6" s="17" t="s">
        <v>116</v>
      </c>
      <c r="K6" s="22" t="s">
        <v>83</v>
      </c>
    </row>
    <row r="7" spans="1:11" ht="14.25" customHeight="1" x14ac:dyDescent="0.2">
      <c r="A7">
        <v>2</v>
      </c>
      <c r="B7" s="17" t="s">
        <v>84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ht="14.25" customHeight="1" x14ac:dyDescent="0.2">
      <c r="A8">
        <v>3</v>
      </c>
      <c r="B8" s="17" t="s">
        <v>125</v>
      </c>
      <c r="C8" s="17"/>
      <c r="D8" s="17"/>
      <c r="E8" s="17"/>
      <c r="F8" s="17"/>
      <c r="G8" s="17"/>
      <c r="H8" s="17"/>
      <c r="I8" s="17">
        <v>165</v>
      </c>
      <c r="J8" s="17"/>
      <c r="K8" s="17">
        <f t="shared" ref="K8:K14" si="0">SUM(C8:J8)</f>
        <v>165</v>
      </c>
    </row>
    <row r="9" spans="1:11" ht="14.25" customHeight="1" x14ac:dyDescent="0.2">
      <c r="A9">
        <v>4</v>
      </c>
      <c r="B9" s="17" t="s">
        <v>126</v>
      </c>
      <c r="C9" s="17"/>
      <c r="D9" s="17"/>
      <c r="E9" s="17"/>
      <c r="F9" s="17"/>
      <c r="G9" s="17"/>
      <c r="H9" s="17"/>
      <c r="I9" s="17">
        <v>120</v>
      </c>
      <c r="J9" s="17">
        <v>60</v>
      </c>
      <c r="K9" s="17">
        <f t="shared" si="0"/>
        <v>180</v>
      </c>
    </row>
    <row r="10" spans="1:11" ht="14.25" customHeight="1" x14ac:dyDescent="0.2">
      <c r="A10">
        <v>5</v>
      </c>
      <c r="B10" s="17" t="s">
        <v>127</v>
      </c>
      <c r="C10" s="17"/>
      <c r="D10" s="17"/>
      <c r="E10" s="17"/>
      <c r="F10" s="17"/>
      <c r="G10" s="17"/>
      <c r="H10" s="17"/>
      <c r="I10" s="17"/>
      <c r="J10" s="17"/>
      <c r="K10" s="17">
        <f t="shared" si="0"/>
        <v>0</v>
      </c>
    </row>
    <row r="11" spans="1:11" ht="14.25" customHeight="1" x14ac:dyDescent="0.2">
      <c r="A11">
        <v>6</v>
      </c>
      <c r="B11" s="17" t="s">
        <v>128</v>
      </c>
      <c r="C11" s="17"/>
      <c r="D11" s="17"/>
      <c r="E11" s="17"/>
      <c r="F11" s="17"/>
      <c r="G11" s="17"/>
      <c r="H11" s="17"/>
      <c r="I11" s="17"/>
      <c r="J11" s="17"/>
      <c r="K11" s="17">
        <f t="shared" si="0"/>
        <v>0</v>
      </c>
    </row>
    <row r="12" spans="1:11" ht="14.25" customHeight="1" x14ac:dyDescent="0.2">
      <c r="A12">
        <v>7</v>
      </c>
      <c r="B12" s="17" t="s">
        <v>129</v>
      </c>
      <c r="C12" s="17"/>
      <c r="D12" s="17"/>
      <c r="E12" s="17"/>
      <c r="F12" s="17"/>
      <c r="G12" s="17"/>
      <c r="H12" s="17"/>
      <c r="I12" s="17"/>
      <c r="J12" s="17"/>
      <c r="K12" s="17">
        <f t="shared" si="0"/>
        <v>0</v>
      </c>
    </row>
    <row r="13" spans="1:11" ht="14.25" customHeight="1" x14ac:dyDescent="0.2">
      <c r="A13">
        <v>8</v>
      </c>
      <c r="B13" s="17" t="s">
        <v>130</v>
      </c>
      <c r="C13" s="17"/>
      <c r="D13" s="17"/>
      <c r="E13" s="17"/>
      <c r="F13" s="17"/>
      <c r="G13" s="17"/>
      <c r="H13" s="17"/>
      <c r="I13" s="17"/>
      <c r="J13" s="17"/>
      <c r="K13" s="17">
        <f t="shared" si="0"/>
        <v>0</v>
      </c>
    </row>
    <row r="14" spans="1:11" ht="14.25" customHeight="1" x14ac:dyDescent="0.2">
      <c r="A14">
        <v>9</v>
      </c>
      <c r="B14" s="17" t="s">
        <v>131</v>
      </c>
      <c r="C14" s="17"/>
      <c r="D14" s="17"/>
      <c r="E14" s="17"/>
      <c r="F14" s="17"/>
      <c r="G14" s="17"/>
      <c r="H14" s="17"/>
      <c r="I14" s="17"/>
      <c r="J14" s="17"/>
      <c r="K14" s="17">
        <f t="shared" si="0"/>
        <v>0</v>
      </c>
    </row>
    <row r="15" spans="1:11" ht="14.25" customHeight="1" x14ac:dyDescent="0.2">
      <c r="A15">
        <v>10</v>
      </c>
      <c r="B15" s="17" t="s">
        <v>92</v>
      </c>
      <c r="C15" s="17">
        <f t="shared" ref="C15:K15" si="1">SUM(C7:C14)</f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285</v>
      </c>
      <c r="J15" s="17">
        <f t="shared" si="1"/>
        <v>60</v>
      </c>
      <c r="K15" s="17">
        <f t="shared" si="1"/>
        <v>345</v>
      </c>
    </row>
    <row r="16" spans="1:11" ht="42.75" customHeight="1" x14ac:dyDescent="0.2">
      <c r="A16">
        <v>11</v>
      </c>
      <c r="B16" s="23" t="s">
        <v>93</v>
      </c>
      <c r="D16" s="24"/>
    </row>
    <row r="17" spans="1:11" ht="14.25" customHeight="1" x14ac:dyDescent="0.2">
      <c r="A17">
        <v>12</v>
      </c>
      <c r="B17" t="s">
        <v>94</v>
      </c>
    </row>
    <row r="18" spans="1:11" ht="14.25" customHeight="1" x14ac:dyDescent="0.2">
      <c r="A18">
        <v>13</v>
      </c>
      <c r="B18" s="17" t="s">
        <v>92</v>
      </c>
      <c r="C18" s="17">
        <v>120</v>
      </c>
      <c r="D18" s="17">
        <v>60</v>
      </c>
      <c r="E18" s="17">
        <v>350</v>
      </c>
      <c r="F18" s="17">
        <v>90</v>
      </c>
      <c r="G18" s="17">
        <v>60</v>
      </c>
      <c r="H18" s="17">
        <v>55</v>
      </c>
      <c r="I18" s="17">
        <v>420</v>
      </c>
      <c r="J18" s="17">
        <v>0</v>
      </c>
      <c r="K18" s="17">
        <v>1155</v>
      </c>
    </row>
    <row r="19" spans="1:11" ht="14.25" customHeight="1" x14ac:dyDescent="0.2">
      <c r="A19">
        <v>14</v>
      </c>
      <c r="B19" s="17" t="s">
        <v>95</v>
      </c>
      <c r="C19" s="17">
        <f t="shared" ref="C19:J19" si="2">IFERROR(MEDIAN(C8:C14),0)</f>
        <v>0</v>
      </c>
      <c r="D19" s="17">
        <f t="shared" si="2"/>
        <v>0</v>
      </c>
      <c r="E19" s="17">
        <f t="shared" si="2"/>
        <v>0</v>
      </c>
      <c r="F19" s="17">
        <f t="shared" si="2"/>
        <v>0</v>
      </c>
      <c r="G19" s="17">
        <f t="shared" si="2"/>
        <v>0</v>
      </c>
      <c r="H19" s="17">
        <f t="shared" si="2"/>
        <v>0</v>
      </c>
      <c r="I19" s="17">
        <f t="shared" si="2"/>
        <v>142.5</v>
      </c>
      <c r="J19" s="17">
        <f t="shared" si="2"/>
        <v>60</v>
      </c>
      <c r="K19" s="17">
        <f>MEDIAN(K8:K14)</f>
        <v>0</v>
      </c>
    </row>
    <row r="20" spans="1:11" ht="14.25" customHeight="1" x14ac:dyDescent="0.2">
      <c r="A20">
        <v>15</v>
      </c>
      <c r="B20" s="17" t="s">
        <v>96</v>
      </c>
      <c r="C20" s="17">
        <f t="shared" ref="C20:K20" si="3">MAX(C8:C14)</f>
        <v>0</v>
      </c>
      <c r="D20" s="17">
        <f t="shared" si="3"/>
        <v>0</v>
      </c>
      <c r="E20" s="17">
        <f t="shared" si="3"/>
        <v>0</v>
      </c>
      <c r="F20" s="17">
        <f t="shared" si="3"/>
        <v>0</v>
      </c>
      <c r="G20" s="17">
        <f t="shared" si="3"/>
        <v>0</v>
      </c>
      <c r="H20" s="17">
        <f t="shared" si="3"/>
        <v>0</v>
      </c>
      <c r="I20" s="17">
        <f t="shared" si="3"/>
        <v>165</v>
      </c>
      <c r="J20" s="17">
        <f t="shared" si="3"/>
        <v>60</v>
      </c>
      <c r="K20" s="17">
        <f t="shared" si="3"/>
        <v>180</v>
      </c>
    </row>
    <row r="21" spans="1:11" ht="14.25" customHeight="1" x14ac:dyDescent="0.2">
      <c r="A21">
        <v>16</v>
      </c>
      <c r="B21" s="17" t="s">
        <v>97</v>
      </c>
      <c r="C21" s="17">
        <f t="shared" ref="C21:K21" si="4">MIN(C8:C14)</f>
        <v>0</v>
      </c>
      <c r="D21" s="17">
        <f t="shared" si="4"/>
        <v>0</v>
      </c>
      <c r="E21" s="17">
        <f t="shared" si="4"/>
        <v>0</v>
      </c>
      <c r="F21" s="17">
        <f t="shared" si="4"/>
        <v>0</v>
      </c>
      <c r="G21" s="17">
        <f t="shared" si="4"/>
        <v>0</v>
      </c>
      <c r="H21" s="17">
        <f t="shared" si="4"/>
        <v>0</v>
      </c>
      <c r="I21" s="17">
        <f t="shared" si="4"/>
        <v>120</v>
      </c>
      <c r="J21" s="17">
        <f t="shared" si="4"/>
        <v>60</v>
      </c>
      <c r="K21" s="17">
        <f t="shared" si="4"/>
        <v>0</v>
      </c>
    </row>
    <row r="22" spans="1:11" ht="34.5" customHeight="1" x14ac:dyDescent="0.2">
      <c r="A22">
        <v>17</v>
      </c>
      <c r="B22" t="s">
        <v>98</v>
      </c>
    </row>
    <row r="23" spans="1:11" ht="14.25" customHeight="1" x14ac:dyDescent="0.2">
      <c r="A23">
        <v>18</v>
      </c>
      <c r="B23" s="17" t="s">
        <v>92</v>
      </c>
      <c r="C23" s="17">
        <f t="shared" ref="C23:K23" si="5">C18+C15</f>
        <v>120</v>
      </c>
      <c r="D23" s="17">
        <f t="shared" si="5"/>
        <v>60</v>
      </c>
      <c r="E23" s="17">
        <f t="shared" si="5"/>
        <v>350</v>
      </c>
      <c r="F23" s="17">
        <f t="shared" si="5"/>
        <v>90</v>
      </c>
      <c r="G23" s="17">
        <f t="shared" si="5"/>
        <v>60</v>
      </c>
      <c r="H23" s="17">
        <f t="shared" si="5"/>
        <v>55</v>
      </c>
      <c r="I23" s="17">
        <f t="shared" si="5"/>
        <v>705</v>
      </c>
      <c r="J23" s="17">
        <f t="shared" si="5"/>
        <v>60</v>
      </c>
      <c r="K23" s="17">
        <f t="shared" si="5"/>
        <v>1500</v>
      </c>
    </row>
    <row r="24" spans="1:11" ht="14.25" customHeight="1" x14ac:dyDescent="0.2">
      <c r="A24">
        <v>19</v>
      </c>
      <c r="B24" s="17" t="s">
        <v>99</v>
      </c>
      <c r="C24" s="17">
        <f t="shared" ref="C24:K24" si="6">IFERROR(C23/COUNTIF(C8:C14,"&gt;"&amp;0),0)</f>
        <v>0</v>
      </c>
      <c r="D24" s="17">
        <f t="shared" si="6"/>
        <v>0</v>
      </c>
      <c r="E24" s="17">
        <f t="shared" si="6"/>
        <v>0</v>
      </c>
      <c r="F24" s="17">
        <f t="shared" si="6"/>
        <v>0</v>
      </c>
      <c r="G24" s="17">
        <f t="shared" si="6"/>
        <v>0</v>
      </c>
      <c r="H24" s="17">
        <f t="shared" si="6"/>
        <v>0</v>
      </c>
      <c r="I24" s="17">
        <f t="shared" si="6"/>
        <v>352.5</v>
      </c>
      <c r="J24" s="17">
        <f t="shared" si="6"/>
        <v>60</v>
      </c>
      <c r="K24" s="17">
        <f t="shared" si="6"/>
        <v>750</v>
      </c>
    </row>
    <row r="25" spans="1:11" ht="14.25" customHeight="1" x14ac:dyDescent="0.2">
      <c r="A25">
        <v>20</v>
      </c>
      <c r="B25" s="17" t="s">
        <v>96</v>
      </c>
      <c r="C25" s="17">
        <f t="shared" ref="C25:K25" si="7">MAX(C8:C14)</f>
        <v>0</v>
      </c>
      <c r="D25" s="17">
        <f t="shared" si="7"/>
        <v>0</v>
      </c>
      <c r="E25" s="17">
        <f t="shared" si="7"/>
        <v>0</v>
      </c>
      <c r="F25" s="17">
        <f t="shared" si="7"/>
        <v>0</v>
      </c>
      <c r="G25" s="17">
        <f t="shared" si="7"/>
        <v>0</v>
      </c>
      <c r="H25" s="17">
        <f t="shared" si="7"/>
        <v>0</v>
      </c>
      <c r="I25" s="17">
        <f t="shared" si="7"/>
        <v>165</v>
      </c>
      <c r="J25" s="17">
        <f t="shared" si="7"/>
        <v>60</v>
      </c>
      <c r="K25" s="17">
        <f t="shared" si="7"/>
        <v>180</v>
      </c>
    </row>
    <row r="26" spans="1:11" ht="14.25" customHeight="1" x14ac:dyDescent="0.2">
      <c r="A26">
        <v>21</v>
      </c>
      <c r="B26" s="17" t="s">
        <v>100</v>
      </c>
      <c r="C26" s="17">
        <f ca="1">IFERROR(_xludf.minifs(C8:C14,C8:C14,"&gt;"&amp;0),0)</f>
        <v>0</v>
      </c>
      <c r="D26" s="17">
        <f ca="1">IFERROR(_xludf.minifs(D8:D14,D8:D14,"&gt;"&amp;0),0)</f>
        <v>0</v>
      </c>
      <c r="E26" s="17">
        <f ca="1">IFERROR(_xludf.minifs(E8:E14,E8:E14,"&gt;"&amp;0),0)</f>
        <v>0</v>
      </c>
      <c r="F26" s="17">
        <f ca="1">IFERROR(_xludf.minifs(F8:F14,F8:F14,"&gt;"&amp;0),0)</f>
        <v>0</v>
      </c>
      <c r="G26" s="17">
        <f ca="1">IFERROR(_xludf.minifs(G8:G14,G8:G14,"&gt;"&amp;0),0)</f>
        <v>0</v>
      </c>
      <c r="H26" s="17">
        <f ca="1">IFERROR(_xludf.minifs(H8:H14,H8:H14,"&gt;"&amp;0),0)</f>
        <v>0</v>
      </c>
      <c r="I26" s="17">
        <f ca="1">IFERROR(_xludf.minifs(I8:I14,I8:I14,"&gt;"&amp;0),0)</f>
        <v>0</v>
      </c>
      <c r="J26" s="17">
        <f ca="1">IFERROR(_xludf.minifs(J8:J14,J8:J14,"&gt;"&amp;0),0)</f>
        <v>0</v>
      </c>
      <c r="K26" s="17">
        <f ca="1">IFERROR(_xludf.minifs(K8:K14,K8:K14,"&gt;"&amp;0),0)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zoomScaleNormal="100" workbookViewId="0">
      <selection activeCell="D35" sqref="D35"/>
    </sheetView>
  </sheetViews>
  <sheetFormatPr baseColWidth="10" defaultColWidth="14.5" defaultRowHeight="15" x14ac:dyDescent="0.2"/>
  <cols>
    <col min="2" max="2" width="16.83203125" customWidth="1"/>
    <col min="3" max="3" width="15.83203125" customWidth="1"/>
  </cols>
  <sheetData>
    <row r="1" spans="1:11" ht="38.25" customHeight="1" x14ac:dyDescent="0.45">
      <c r="E1" s="20"/>
      <c r="F1" s="21"/>
    </row>
    <row r="2" spans="1:11" ht="38.25" customHeight="1" x14ac:dyDescent="0.45">
      <c r="E2" s="20"/>
      <c r="F2" s="21" t="s">
        <v>71</v>
      </c>
    </row>
    <row r="5" spans="1:11" ht="14.25" customHeight="1" x14ac:dyDescent="0.2">
      <c r="B5" t="s">
        <v>72</v>
      </c>
      <c r="C5" t="s">
        <v>4</v>
      </c>
      <c r="I5" t="s">
        <v>132</v>
      </c>
    </row>
    <row r="6" spans="1:11" ht="14.25" customHeight="1" x14ac:dyDescent="0.2">
      <c r="A6">
        <v>1</v>
      </c>
      <c r="B6" s="17" t="s">
        <v>74</v>
      </c>
      <c r="C6" s="17" t="s">
        <v>75</v>
      </c>
      <c r="D6" s="17" t="s">
        <v>76</v>
      </c>
      <c r="E6" s="17" t="s">
        <v>77</v>
      </c>
      <c r="F6" s="17" t="s">
        <v>78</v>
      </c>
      <c r="G6" s="17" t="s">
        <v>103</v>
      </c>
      <c r="H6" s="17" t="s">
        <v>80</v>
      </c>
      <c r="I6" s="17" t="s">
        <v>81</v>
      </c>
      <c r="J6" s="17" t="s">
        <v>133</v>
      </c>
      <c r="K6" s="22" t="s">
        <v>83</v>
      </c>
    </row>
    <row r="7" spans="1:11" ht="14.25" customHeight="1" x14ac:dyDescent="0.2">
      <c r="A7">
        <v>2</v>
      </c>
      <c r="B7" s="17" t="s">
        <v>84</v>
      </c>
      <c r="C7" s="17"/>
      <c r="D7" s="17"/>
      <c r="E7" s="17"/>
      <c r="F7" s="17"/>
      <c r="G7" s="17"/>
      <c r="H7" s="17"/>
      <c r="I7" s="17"/>
      <c r="J7" s="17"/>
      <c r="K7" s="17"/>
    </row>
    <row r="8" spans="1:11" ht="14.25" customHeight="1" x14ac:dyDescent="0.2">
      <c r="A8">
        <v>3</v>
      </c>
      <c r="B8" s="17" t="s">
        <v>134</v>
      </c>
      <c r="C8" s="17"/>
      <c r="D8" s="17"/>
      <c r="E8" s="17"/>
      <c r="F8" s="17"/>
      <c r="G8" s="17"/>
      <c r="H8" s="17"/>
      <c r="I8" s="17"/>
      <c r="J8" s="17"/>
      <c r="K8" s="17">
        <f t="shared" ref="K8:K14" si="0">SUM(C8:J8)</f>
        <v>0</v>
      </c>
    </row>
    <row r="9" spans="1:11" ht="14.25" customHeight="1" x14ac:dyDescent="0.2">
      <c r="A9">
        <v>4</v>
      </c>
      <c r="B9" s="17" t="s">
        <v>135</v>
      </c>
      <c r="C9" s="17"/>
      <c r="D9" s="17"/>
      <c r="E9" s="17"/>
      <c r="F9" s="17"/>
      <c r="G9" s="17"/>
      <c r="H9" s="17"/>
      <c r="I9" s="17"/>
      <c r="J9" s="17">
        <v>120</v>
      </c>
      <c r="K9" s="17">
        <f t="shared" si="0"/>
        <v>120</v>
      </c>
    </row>
    <row r="10" spans="1:11" ht="14.25" customHeight="1" x14ac:dyDescent="0.2">
      <c r="A10">
        <v>5</v>
      </c>
      <c r="B10" s="17" t="s">
        <v>136</v>
      </c>
      <c r="C10" s="17"/>
      <c r="D10" s="17"/>
      <c r="E10" s="17"/>
      <c r="F10" s="17"/>
      <c r="G10" s="17"/>
      <c r="H10" s="17"/>
      <c r="I10" s="17"/>
      <c r="J10" s="17"/>
      <c r="K10" s="17">
        <f t="shared" si="0"/>
        <v>0</v>
      </c>
    </row>
    <row r="11" spans="1:11" ht="14.25" customHeight="1" x14ac:dyDescent="0.2">
      <c r="A11">
        <v>6</v>
      </c>
      <c r="B11" s="17" t="s">
        <v>137</v>
      </c>
      <c r="C11" s="17"/>
      <c r="D11" s="17"/>
      <c r="E11" s="17"/>
      <c r="F11" s="17"/>
      <c r="G11" s="17"/>
      <c r="H11" s="17"/>
      <c r="I11" s="17"/>
      <c r="J11" s="17"/>
      <c r="K11" s="17">
        <f t="shared" si="0"/>
        <v>0</v>
      </c>
    </row>
    <row r="12" spans="1:11" ht="14.25" customHeight="1" x14ac:dyDescent="0.2">
      <c r="A12">
        <v>7</v>
      </c>
      <c r="B12" s="17" t="s">
        <v>138</v>
      </c>
      <c r="C12" s="17"/>
      <c r="D12" s="17"/>
      <c r="E12" s="17"/>
      <c r="F12" s="17"/>
      <c r="G12" s="17"/>
      <c r="H12" s="17"/>
      <c r="I12" s="17"/>
      <c r="J12" s="17"/>
      <c r="K12" s="17">
        <f t="shared" si="0"/>
        <v>0</v>
      </c>
    </row>
    <row r="13" spans="1:11" ht="14.25" customHeight="1" x14ac:dyDescent="0.2">
      <c r="A13">
        <v>8</v>
      </c>
      <c r="B13" s="17" t="s">
        <v>139</v>
      </c>
      <c r="C13" s="17"/>
      <c r="D13" s="17"/>
      <c r="E13" s="17"/>
      <c r="F13" s="17"/>
      <c r="G13" s="17"/>
      <c r="H13" s="17"/>
      <c r="I13" s="17"/>
      <c r="J13" s="17"/>
      <c r="K13" s="17">
        <f t="shared" si="0"/>
        <v>0</v>
      </c>
    </row>
    <row r="14" spans="1:11" ht="14.25" customHeight="1" x14ac:dyDescent="0.2">
      <c r="A14">
        <v>9</v>
      </c>
      <c r="B14" s="17" t="s">
        <v>140</v>
      </c>
      <c r="C14" s="17"/>
      <c r="D14" s="17"/>
      <c r="E14" s="17"/>
      <c r="F14" s="17"/>
      <c r="G14" s="17"/>
      <c r="H14" s="17"/>
      <c r="I14" s="17"/>
      <c r="J14" s="17">
        <v>90</v>
      </c>
      <c r="K14" s="17">
        <f t="shared" si="0"/>
        <v>90</v>
      </c>
    </row>
    <row r="15" spans="1:11" ht="14.25" customHeight="1" x14ac:dyDescent="0.2">
      <c r="A15">
        <v>10</v>
      </c>
      <c r="B15" s="17" t="s">
        <v>92</v>
      </c>
      <c r="C15" s="17">
        <f t="shared" ref="C15:K15" si="1">SUM(C7:C14)</f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210</v>
      </c>
      <c r="K15" s="17">
        <f t="shared" si="1"/>
        <v>210</v>
      </c>
    </row>
    <row r="16" spans="1:11" ht="42.75" customHeight="1" x14ac:dyDescent="0.2">
      <c r="A16">
        <v>11</v>
      </c>
      <c r="B16" s="23" t="s">
        <v>93</v>
      </c>
      <c r="D16" s="24"/>
    </row>
    <row r="17" spans="1:11" ht="14.25" customHeight="1" x14ac:dyDescent="0.2">
      <c r="A17">
        <v>12</v>
      </c>
      <c r="B17" t="s">
        <v>94</v>
      </c>
    </row>
    <row r="18" spans="1:11" ht="14.25" customHeight="1" x14ac:dyDescent="0.2">
      <c r="A18">
        <v>13</v>
      </c>
      <c r="B18" s="17" t="s">
        <v>92</v>
      </c>
      <c r="C18" s="17">
        <v>120</v>
      </c>
      <c r="D18" s="17">
        <v>60</v>
      </c>
      <c r="E18" s="17">
        <v>350</v>
      </c>
      <c r="F18" s="17">
        <v>90</v>
      </c>
      <c r="G18" s="17">
        <v>60</v>
      </c>
      <c r="H18" s="17">
        <v>55</v>
      </c>
      <c r="I18" s="17">
        <v>705</v>
      </c>
      <c r="J18" s="17">
        <v>60</v>
      </c>
      <c r="K18" s="17">
        <v>1500</v>
      </c>
    </row>
    <row r="19" spans="1:11" ht="14.25" customHeight="1" x14ac:dyDescent="0.2">
      <c r="A19">
        <v>14</v>
      </c>
      <c r="B19" s="17" t="s">
        <v>95</v>
      </c>
      <c r="C19" s="17">
        <f t="shared" ref="C19:J19" si="2">IFERROR(MEDIAN(C8:C14),0)</f>
        <v>0</v>
      </c>
      <c r="D19" s="17">
        <f t="shared" si="2"/>
        <v>0</v>
      </c>
      <c r="E19" s="17">
        <f t="shared" si="2"/>
        <v>0</v>
      </c>
      <c r="F19" s="17">
        <f t="shared" si="2"/>
        <v>0</v>
      </c>
      <c r="G19" s="17">
        <f t="shared" si="2"/>
        <v>0</v>
      </c>
      <c r="H19" s="17">
        <f t="shared" si="2"/>
        <v>0</v>
      </c>
      <c r="I19" s="17">
        <f t="shared" si="2"/>
        <v>0</v>
      </c>
      <c r="J19" s="17">
        <f t="shared" si="2"/>
        <v>105</v>
      </c>
      <c r="K19" s="17">
        <f>MEDIAN(K8:K14)</f>
        <v>0</v>
      </c>
    </row>
    <row r="20" spans="1:11" ht="14.25" customHeight="1" x14ac:dyDescent="0.2">
      <c r="A20">
        <v>15</v>
      </c>
      <c r="B20" s="17" t="s">
        <v>96</v>
      </c>
      <c r="C20" s="17">
        <f t="shared" ref="C20:K20" si="3">MAX(C8:C14)</f>
        <v>0</v>
      </c>
      <c r="D20" s="17">
        <f t="shared" si="3"/>
        <v>0</v>
      </c>
      <c r="E20" s="17">
        <f t="shared" si="3"/>
        <v>0</v>
      </c>
      <c r="F20" s="17">
        <f t="shared" si="3"/>
        <v>0</v>
      </c>
      <c r="G20" s="17">
        <f t="shared" si="3"/>
        <v>0</v>
      </c>
      <c r="H20" s="17">
        <f t="shared" si="3"/>
        <v>0</v>
      </c>
      <c r="I20" s="17">
        <f t="shared" si="3"/>
        <v>0</v>
      </c>
      <c r="J20" s="17">
        <f t="shared" si="3"/>
        <v>120</v>
      </c>
      <c r="K20" s="17">
        <f t="shared" si="3"/>
        <v>120</v>
      </c>
    </row>
    <row r="21" spans="1:11" ht="14.25" customHeight="1" x14ac:dyDescent="0.2">
      <c r="A21">
        <v>16</v>
      </c>
      <c r="B21" s="17" t="s">
        <v>97</v>
      </c>
      <c r="C21" s="17">
        <f t="shared" ref="C21:K21" si="4">MIN(C8:C14)</f>
        <v>0</v>
      </c>
      <c r="D21" s="17">
        <f t="shared" si="4"/>
        <v>0</v>
      </c>
      <c r="E21" s="17">
        <f t="shared" si="4"/>
        <v>0</v>
      </c>
      <c r="F21" s="17">
        <f t="shared" si="4"/>
        <v>0</v>
      </c>
      <c r="G21" s="17">
        <f t="shared" si="4"/>
        <v>0</v>
      </c>
      <c r="H21" s="17">
        <f t="shared" si="4"/>
        <v>0</v>
      </c>
      <c r="I21" s="17">
        <f t="shared" si="4"/>
        <v>0</v>
      </c>
      <c r="J21" s="17">
        <f t="shared" si="4"/>
        <v>90</v>
      </c>
      <c r="K21" s="17">
        <f t="shared" si="4"/>
        <v>0</v>
      </c>
    </row>
    <row r="22" spans="1:11" ht="34.5" customHeight="1" x14ac:dyDescent="0.2">
      <c r="A22">
        <v>17</v>
      </c>
      <c r="B22" t="s">
        <v>98</v>
      </c>
    </row>
    <row r="23" spans="1:11" ht="14.25" customHeight="1" x14ac:dyDescent="0.2">
      <c r="A23">
        <v>18</v>
      </c>
      <c r="B23" s="17" t="s">
        <v>92</v>
      </c>
      <c r="C23" s="17">
        <f t="shared" ref="C23:K23" si="5">C18+C15</f>
        <v>120</v>
      </c>
      <c r="D23" s="17">
        <f t="shared" si="5"/>
        <v>60</v>
      </c>
      <c r="E23" s="17">
        <f t="shared" si="5"/>
        <v>350</v>
      </c>
      <c r="F23" s="17">
        <f t="shared" si="5"/>
        <v>90</v>
      </c>
      <c r="G23" s="17">
        <f t="shared" si="5"/>
        <v>60</v>
      </c>
      <c r="H23" s="17">
        <f t="shared" si="5"/>
        <v>55</v>
      </c>
      <c r="I23" s="17">
        <f t="shared" si="5"/>
        <v>705</v>
      </c>
      <c r="J23" s="17">
        <f t="shared" si="5"/>
        <v>270</v>
      </c>
      <c r="K23" s="17">
        <f t="shared" si="5"/>
        <v>1710</v>
      </c>
    </row>
    <row r="24" spans="1:11" ht="14.25" customHeight="1" x14ac:dyDescent="0.2">
      <c r="A24">
        <v>19</v>
      </c>
      <c r="B24" s="17" t="s">
        <v>99</v>
      </c>
      <c r="C24" s="17">
        <f t="shared" ref="C24:K24" si="6">IFERROR(C23/COUNTIF(C8:C14,"&gt;"&amp;0),0)</f>
        <v>0</v>
      </c>
      <c r="D24" s="17">
        <f t="shared" si="6"/>
        <v>0</v>
      </c>
      <c r="E24" s="17">
        <f t="shared" si="6"/>
        <v>0</v>
      </c>
      <c r="F24" s="17">
        <f t="shared" si="6"/>
        <v>0</v>
      </c>
      <c r="G24" s="17">
        <f t="shared" si="6"/>
        <v>0</v>
      </c>
      <c r="H24" s="17">
        <f t="shared" si="6"/>
        <v>0</v>
      </c>
      <c r="I24" s="17">
        <f t="shared" si="6"/>
        <v>0</v>
      </c>
      <c r="J24" s="17">
        <f t="shared" si="6"/>
        <v>135</v>
      </c>
      <c r="K24" s="17">
        <f t="shared" si="6"/>
        <v>855</v>
      </c>
    </row>
    <row r="25" spans="1:11" ht="14.25" customHeight="1" x14ac:dyDescent="0.2">
      <c r="A25">
        <v>20</v>
      </c>
      <c r="B25" s="17" t="s">
        <v>96</v>
      </c>
      <c r="C25" s="17">
        <f t="shared" ref="C25:K25" si="7">MAX(C8:C14)</f>
        <v>0</v>
      </c>
      <c r="D25" s="17">
        <f t="shared" si="7"/>
        <v>0</v>
      </c>
      <c r="E25" s="17">
        <f t="shared" si="7"/>
        <v>0</v>
      </c>
      <c r="F25" s="17">
        <f t="shared" si="7"/>
        <v>0</v>
      </c>
      <c r="G25" s="17">
        <f t="shared" si="7"/>
        <v>0</v>
      </c>
      <c r="H25" s="17">
        <f t="shared" si="7"/>
        <v>0</v>
      </c>
      <c r="I25" s="17">
        <f t="shared" si="7"/>
        <v>0</v>
      </c>
      <c r="J25" s="17">
        <f t="shared" si="7"/>
        <v>120</v>
      </c>
      <c r="K25" s="17">
        <f t="shared" si="7"/>
        <v>120</v>
      </c>
    </row>
    <row r="26" spans="1:11" ht="14.25" customHeight="1" x14ac:dyDescent="0.2">
      <c r="A26">
        <v>21</v>
      </c>
      <c r="B26" s="17" t="s">
        <v>100</v>
      </c>
      <c r="C26" s="17">
        <f ca="1">IFERROR(_xludf.minifs(C8:C14,C8:C14,"&gt;"&amp;0),0)</f>
        <v>0</v>
      </c>
      <c r="D26" s="17">
        <f ca="1">IFERROR(_xludf.minifs(D8:D14,D8:D14,"&gt;"&amp;0),0)</f>
        <v>0</v>
      </c>
      <c r="E26" s="17">
        <f ca="1">IFERROR(_xludf.minifs(E8:E14,E8:E14,"&gt;"&amp;0),0)</f>
        <v>0</v>
      </c>
      <c r="F26" s="17">
        <f ca="1">IFERROR(_xludf.minifs(F8:F14,F8:F14,"&gt;"&amp;0),0)</f>
        <v>0</v>
      </c>
      <c r="G26" s="17">
        <f ca="1">IFERROR(_xludf.minifs(G8:G14,G8:G14,"&gt;"&amp;0),0)</f>
        <v>0</v>
      </c>
      <c r="H26" s="17">
        <f ca="1">IFERROR(_xludf.minifs(H8:H14,H8:H14,"&gt;"&amp;0),0)</f>
        <v>0</v>
      </c>
      <c r="I26" s="17">
        <f ca="1">IFERROR(_xludf.minifs(I8:I14,I8:I14,"&gt;"&amp;0),0)</f>
        <v>0</v>
      </c>
      <c r="J26" s="17">
        <f ca="1">IFERROR(_xludf.minifs(J8:J14,J8:J14,"&gt;"&amp;0),0)</f>
        <v>0</v>
      </c>
      <c r="K26" s="17">
        <f ca="1">IFERROR(_xludf.minifs(K8:K14,K8:K14,"&gt;"&amp;0),0)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Índice</vt:lpstr>
      <vt:lpstr>Control de interrupciones</vt:lpstr>
      <vt:lpstr>Resumen Semanal de Actividades</vt:lpstr>
      <vt:lpstr>Resumen por Semana</vt:lpstr>
      <vt:lpstr>Resumen Sem 2</vt:lpstr>
      <vt:lpstr>Resumen Sem 3</vt:lpstr>
      <vt:lpstr>Resumen Sem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PSP AEMA</dc:title>
  <dc:subject/>
  <dc:creator>AEMA</dc:creator>
  <dc:description/>
  <cp:lastModifiedBy>MACIAS AMEZCUA, ANA ELENA</cp:lastModifiedBy>
  <cp:revision>0</cp:revision>
  <dcterms:created xsi:type="dcterms:W3CDTF">2026-04-17T23:43:40Z</dcterms:created>
  <dcterms:modified xsi:type="dcterms:W3CDTF">2026-05-17T21:15:30Z</dcterms:modified>
  <dc:language>en-US</dc:language>
</cp:coreProperties>
</file>