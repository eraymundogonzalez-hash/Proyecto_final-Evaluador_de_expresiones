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y/Documents/LIC_IA/4TO_SEMESTRE/INGENIERÍA DE SOFTWARE/PROYECTO/"/>
    </mc:Choice>
  </mc:AlternateContent>
  <xr:revisionPtr revIDLastSave="0" documentId="13_ncr:1_{6DF80A8A-2910-BD4A-9A3A-0622B1F8F0CE}" xr6:coauthVersionLast="47" xr6:coauthVersionMax="47" xr10:uidLastSave="{00000000-0000-0000-0000-000000000000}"/>
  <bookViews>
    <workbookView xWindow="1020" yWindow="600" windowWidth="26780" windowHeight="16180" activeTab="4" xr2:uid="{8700C340-B499-CF4B-B4BF-52C3014078C8}"/>
  </bookViews>
  <sheets>
    <sheet name="Portada" sheetId="1" r:id="rId1"/>
    <sheet name="Indice" sheetId="2" r:id="rId2"/>
    <sheet name="3. Actividades" sheetId="3" r:id="rId3"/>
    <sheet name="4.Control de las Interrupciones" sheetId="5" r:id="rId4"/>
    <sheet name="5. Resumen semanal" sheetId="6" r:id="rId5"/>
    <sheet name="Hoja1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" i="6" l="1"/>
  <c r="K7" i="6"/>
  <c r="K8" i="6"/>
  <c r="K9" i="6"/>
  <c r="K10" i="6"/>
  <c r="K11" i="6"/>
  <c r="K12" i="6"/>
  <c r="K6" i="6"/>
  <c r="G27" i="6"/>
  <c r="G26" i="6"/>
  <c r="G25" i="6"/>
  <c r="G24" i="6"/>
  <c r="G21" i="6"/>
  <c r="G20" i="6"/>
  <c r="G19" i="6"/>
  <c r="G10" i="6"/>
  <c r="G9" i="6"/>
  <c r="E21" i="5"/>
  <c r="E27" i="5"/>
  <c r="E26" i="5"/>
  <c r="E25" i="5" l="1"/>
  <c r="E24" i="5"/>
  <c r="E23" i="5" l="1"/>
  <c r="E22" i="5"/>
  <c r="E20" i="5"/>
  <c r="E19" i="5"/>
  <c r="E18" i="5"/>
  <c r="E17" i="5"/>
  <c r="D27" i="6"/>
  <c r="C27" i="6"/>
  <c r="C26" i="6"/>
  <c r="C25" i="6"/>
  <c r="C24" i="6"/>
  <c r="F21" i="6"/>
  <c r="F20" i="6"/>
  <c r="F19" i="6"/>
  <c r="E21" i="6"/>
  <c r="E20" i="6"/>
  <c r="E19" i="6"/>
  <c r="D21" i="6"/>
  <c r="D20" i="6"/>
  <c r="D26" i="6" s="1"/>
  <c r="D19" i="6"/>
  <c r="D25" i="6" s="1"/>
  <c r="D13" i="6"/>
  <c r="D18" i="6" s="1"/>
  <c r="D24" i="6" s="1"/>
  <c r="E13" i="6"/>
  <c r="E18" i="6" s="1"/>
  <c r="F13" i="6"/>
  <c r="F18" i="6" s="1"/>
  <c r="G13" i="6"/>
  <c r="G18" i="6" s="1"/>
  <c r="H13" i="6"/>
  <c r="I13" i="6"/>
  <c r="J13" i="6"/>
  <c r="C21" i="6"/>
  <c r="C20" i="6"/>
  <c r="C19" i="6"/>
  <c r="C18" i="6"/>
  <c r="E26" i="6" l="1"/>
  <c r="E25" i="6"/>
  <c r="E24" i="6"/>
  <c r="E27" i="6"/>
  <c r="F26" i="6"/>
  <c r="F25" i="6"/>
  <c r="F24" i="6"/>
  <c r="F27" i="6"/>
  <c r="C13" i="6"/>
  <c r="E16" i="5"/>
  <c r="E15" i="5"/>
  <c r="E14" i="5"/>
  <c r="E13" i="5" l="1"/>
  <c r="E11" i="5" l="1"/>
  <c r="E10" i="5"/>
  <c r="E9" i="5"/>
  <c r="E8" i="5"/>
  <c r="E7" i="5"/>
  <c r="E12" i="5"/>
</calcChain>
</file>

<file path=xl/sharedStrings.xml><?xml version="1.0" encoding="utf-8"?>
<sst xmlns="http://schemas.openxmlformats.org/spreadsheetml/2006/main" count="149" uniqueCount="105">
  <si>
    <t>Nombre:</t>
  </si>
  <si>
    <t>Teléfono/correo electrónico:</t>
  </si>
  <si>
    <t>Fecha de apertura:</t>
  </si>
  <si>
    <t>Fecha de cierre:</t>
  </si>
  <si>
    <t>Cuaderno de Ingeniería</t>
  </si>
  <si>
    <t>Patricia Jaime Pérez</t>
  </si>
  <si>
    <t>3333617160/patricia.jaime4622@alumnos.udg.mx</t>
  </si>
  <si>
    <t>20 de abril de 2026</t>
  </si>
  <si>
    <t>Cuaderno no.:</t>
  </si>
  <si>
    <t>Contenidos del Cuaderno de Ingeniería</t>
  </si>
  <si>
    <t>Página</t>
  </si>
  <si>
    <t>Tema</t>
  </si>
  <si>
    <t>Fecha</t>
  </si>
  <si>
    <t>Actividades</t>
  </si>
  <si>
    <t>20 de abril</t>
  </si>
  <si>
    <t>22 de abril</t>
  </si>
  <si>
    <t>Elaboración del cuaderno de Ingeniería</t>
  </si>
  <si>
    <t>Estudiante</t>
  </si>
  <si>
    <t>Profesor</t>
  </si>
  <si>
    <t>Dr. Edgar Gonzalo Cossío Franco</t>
  </si>
  <si>
    <t>Class</t>
  </si>
  <si>
    <t>Comienzo</t>
  </si>
  <si>
    <t>Fin</t>
  </si>
  <si>
    <t>Tiempo de Interrupción</t>
  </si>
  <si>
    <t>Actividad</t>
  </si>
  <si>
    <t>Comentarios</t>
  </si>
  <si>
    <t>C</t>
  </si>
  <si>
    <t>U</t>
  </si>
  <si>
    <t>22 abril de 2026</t>
  </si>
  <si>
    <t>△ Tiempo</t>
  </si>
  <si>
    <t>Elaboración de tabla TDCU de Contexto</t>
  </si>
  <si>
    <t>Tarea</t>
  </si>
  <si>
    <t>D</t>
  </si>
  <si>
    <t>L</t>
  </si>
  <si>
    <t>M</t>
  </si>
  <si>
    <t>J</t>
  </si>
  <si>
    <t>V</t>
  </si>
  <si>
    <t>S</t>
  </si>
  <si>
    <t>Totales</t>
  </si>
  <si>
    <t>Elaboración de cuaderno de ingeniería</t>
  </si>
  <si>
    <t>Total</t>
  </si>
  <si>
    <t>Tiempos y Medias del Periodo</t>
  </si>
  <si>
    <t>Número de semanas (número anterior +1):</t>
  </si>
  <si>
    <t>Resumen de las semanas anteriores:</t>
  </si>
  <si>
    <t>Med.</t>
  </si>
  <si>
    <t>Máx.</t>
  </si>
  <si>
    <t>Mín</t>
  </si>
  <si>
    <t>Resumen incluyendo la última semana</t>
  </si>
  <si>
    <t>Avg.</t>
  </si>
  <si>
    <t>Mín.</t>
  </si>
  <si>
    <t>Elaboración de TDCU de Contexto</t>
  </si>
  <si>
    <t>15 de abril</t>
  </si>
  <si>
    <t>Definición de los roles de los integrantes del equipo</t>
  </si>
  <si>
    <t>Clase</t>
  </si>
  <si>
    <t>Clase PSP</t>
  </si>
  <si>
    <t>Definición de roles de trabajo de miembros del equipo</t>
  </si>
  <si>
    <t>23 de abril</t>
  </si>
  <si>
    <t>Revisión de Sección 1 de  IEEE-830</t>
  </si>
  <si>
    <t>28 de abril</t>
  </si>
  <si>
    <t>Elaboración de diagramas RF01. Subirlos a GitHub. Actualizar Readme.</t>
  </si>
  <si>
    <t>29 de abril</t>
  </si>
  <si>
    <t>x</t>
  </si>
  <si>
    <t xml:space="preserve">Elaboración de diagramas RF01. </t>
  </si>
  <si>
    <t>1 de mayo</t>
  </si>
  <si>
    <t>TDCU RF05. Diagramas.</t>
  </si>
  <si>
    <t>Diagramas RF05</t>
  </si>
  <si>
    <t>TDCU y Diagramas RF05</t>
  </si>
  <si>
    <t>2 de mayo</t>
  </si>
  <si>
    <t>3 de mayo</t>
  </si>
  <si>
    <t>Diagramas RF05, GitHub</t>
  </si>
  <si>
    <t>12-18 Abr</t>
  </si>
  <si>
    <t>19-25 Abr</t>
  </si>
  <si>
    <t>26 Abr-2 May</t>
  </si>
  <si>
    <t>3 - 9 May</t>
  </si>
  <si>
    <t>TDCU RF06, Cuaderno de Ingeniería</t>
  </si>
  <si>
    <t>4 de mayo</t>
  </si>
  <si>
    <t>TDCU RF06</t>
  </si>
  <si>
    <t>5 de mayo</t>
  </si>
  <si>
    <t>Revisión de IEEE-830. Modificación TDCU del RF01</t>
  </si>
  <si>
    <t>SRS, TDCU y Diag RF01</t>
  </si>
  <si>
    <t>RF01-RF05</t>
  </si>
  <si>
    <t>830-TDCU</t>
  </si>
  <si>
    <t>6 de mayo</t>
  </si>
  <si>
    <t xml:space="preserve">TDCU RF06v2.0, CU. </t>
  </si>
  <si>
    <t>Reunión de equipo para revisión de avances</t>
  </si>
  <si>
    <t>Reelaboración de TDCU del RF006, iniciar retrabajo diagramas</t>
  </si>
  <si>
    <t>7 de mayo</t>
  </si>
  <si>
    <t>9 de mayo</t>
  </si>
  <si>
    <t>RF06: Comunicación, Secuencia, Clases</t>
  </si>
  <si>
    <t>13 de mayo</t>
  </si>
  <si>
    <t>Compilación de diagramas, actualización de TDCUs</t>
  </si>
  <si>
    <t>Unificacion de estilos de diagramas, actualización SRS</t>
  </si>
  <si>
    <t>10-16 May</t>
  </si>
  <si>
    <t>Control de interrupciones</t>
  </si>
  <si>
    <t>Resumen semanal</t>
  </si>
  <si>
    <t>14 de mayo</t>
  </si>
  <si>
    <t>Pdf de Arquitectura de software, PF</t>
  </si>
  <si>
    <t>Pdf de Arquitectura de software</t>
  </si>
  <si>
    <t>Entregable de Arquitectura de Software</t>
  </si>
  <si>
    <t>PF y COCOMO</t>
  </si>
  <si>
    <t>X</t>
  </si>
  <si>
    <t>16 de mayo</t>
  </si>
  <si>
    <t>Projectlibre</t>
  </si>
  <si>
    <t>RF06 Comunicación</t>
  </si>
  <si>
    <t>17 de mayo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</si>
</sst>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20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20"/>
      <color rgb="FF000000"/>
      <name val="Aptos Narrow"/>
      <scheme val="minor"/>
    </font>
    <font>
      <sz val="18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1" xfId="0" applyBorder="1"/>
    <xf numFmtId="20" fontId="0" fillId="0" borderId="1" xfId="0" applyNumberFormat="1" applyBorder="1"/>
    <xf numFmtId="0" fontId="2" fillId="0" borderId="2" xfId="1" applyBorder="1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64" fontId="0" fillId="0" borderId="1" xfId="0" applyNumberFormat="1" applyBorder="1"/>
    <xf numFmtId="0" fontId="0" fillId="0" borderId="3" xfId="0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3333617160/patricia.jaime4622@alumnos.udg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3E49-1A83-C946-B7B7-59C8563E149A}">
  <dimension ref="A3:I19"/>
  <sheetViews>
    <sheetView showGridLines="0" showRuler="0" view="pageLayout" zoomScaleNormal="100" workbookViewId="0">
      <selection activeCell="C17" sqref="C17"/>
    </sheetView>
  </sheetViews>
  <sheetFormatPr baseColWidth="10" defaultRowHeight="16" x14ac:dyDescent="0.2"/>
  <cols>
    <col min="1" max="1" width="4.83203125" customWidth="1"/>
    <col min="2" max="2" width="25.1640625" bestFit="1" customWidth="1"/>
    <col min="4" max="4" width="5.33203125" customWidth="1"/>
    <col min="5" max="5" width="4.1640625" customWidth="1"/>
    <col min="6" max="6" width="3.5" customWidth="1"/>
    <col min="7" max="7" width="4" customWidth="1"/>
    <col min="8" max="8" width="12.5" bestFit="1" customWidth="1"/>
  </cols>
  <sheetData>
    <row r="3" spans="1:9" x14ac:dyDescent="0.2">
      <c r="H3" s="1" t="s">
        <v>8</v>
      </c>
      <c r="I3" s="1">
        <v>1</v>
      </c>
    </row>
    <row r="9" spans="1:9" ht="27" x14ac:dyDescent="0.35">
      <c r="A9" s="14" t="s">
        <v>4</v>
      </c>
      <c r="B9" s="14"/>
      <c r="C9" s="14"/>
      <c r="D9" s="14"/>
      <c r="E9" s="14"/>
      <c r="F9" s="14"/>
      <c r="G9" s="14"/>
      <c r="H9" s="14"/>
      <c r="I9" s="14"/>
    </row>
    <row r="10" spans="1:9" ht="27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ht="27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ht="27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1"/>
    </row>
    <row r="14" spans="1:9" x14ac:dyDescent="0.2">
      <c r="B14" s="1" t="s">
        <v>0</v>
      </c>
      <c r="C14" t="s">
        <v>5</v>
      </c>
    </row>
    <row r="15" spans="1:9" x14ac:dyDescent="0.2">
      <c r="B15" s="1" t="s">
        <v>1</v>
      </c>
      <c r="C15" s="9" t="s">
        <v>6</v>
      </c>
    </row>
    <row r="16" spans="1:9" x14ac:dyDescent="0.2">
      <c r="B16" s="1"/>
    </row>
    <row r="17" spans="2:3" x14ac:dyDescent="0.2">
      <c r="B17" s="1" t="s">
        <v>2</v>
      </c>
      <c r="C17" t="s">
        <v>7</v>
      </c>
    </row>
    <row r="18" spans="2:3" x14ac:dyDescent="0.2">
      <c r="B18" s="1"/>
    </row>
    <row r="19" spans="2:3" x14ac:dyDescent="0.2">
      <c r="B19" s="1" t="s">
        <v>3</v>
      </c>
      <c r="C19" t="s">
        <v>104</v>
      </c>
    </row>
  </sheetData>
  <mergeCells count="1">
    <mergeCell ref="A9:I9"/>
  </mergeCells>
  <hyperlinks>
    <hyperlink ref="C15" r:id="rId1" xr:uid="{CBEF7EFE-15B4-9243-ACC0-E85EE39F293B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D357-EF5C-E145-9CF2-65A696DD3A88}">
  <dimension ref="A1:I9"/>
  <sheetViews>
    <sheetView workbookViewId="0">
      <selection activeCell="E15" sqref="E15"/>
    </sheetView>
  </sheetViews>
  <sheetFormatPr baseColWidth="10" defaultRowHeight="16" x14ac:dyDescent="0.2"/>
  <cols>
    <col min="3" max="3" width="22.1640625" bestFit="1" customWidth="1"/>
  </cols>
  <sheetData>
    <row r="1" spans="1:9" x14ac:dyDescent="0.2">
      <c r="A1" s="3"/>
      <c r="B1" s="3"/>
      <c r="C1" s="3"/>
      <c r="D1" s="3"/>
      <c r="E1" s="3"/>
      <c r="F1" s="3"/>
      <c r="G1" s="3"/>
      <c r="H1" s="3"/>
      <c r="I1" s="3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24" x14ac:dyDescent="0.3">
      <c r="A4" s="15" t="s">
        <v>9</v>
      </c>
      <c r="B4" s="15"/>
      <c r="C4" s="15"/>
      <c r="D4" s="15"/>
      <c r="E4" s="15"/>
      <c r="F4" s="15"/>
      <c r="G4" s="15"/>
      <c r="H4" s="15"/>
      <c r="I4" s="15"/>
    </row>
    <row r="5" spans="1:9" ht="27" x14ac:dyDescent="0.35">
      <c r="A5" s="4"/>
      <c r="B5" s="4"/>
      <c r="C5" s="4"/>
      <c r="D5" s="4"/>
      <c r="E5" s="4"/>
      <c r="F5" s="4"/>
      <c r="G5" s="4"/>
      <c r="H5" s="4"/>
      <c r="I5" s="4"/>
    </row>
    <row r="6" spans="1:9" x14ac:dyDescent="0.2">
      <c r="B6" t="s">
        <v>10</v>
      </c>
      <c r="C6" t="s">
        <v>11</v>
      </c>
    </row>
    <row r="7" spans="1:9" x14ac:dyDescent="0.2">
      <c r="B7">
        <v>3</v>
      </c>
      <c r="C7" t="s">
        <v>13</v>
      </c>
    </row>
    <row r="8" spans="1:9" x14ac:dyDescent="0.2">
      <c r="B8">
        <v>4</v>
      </c>
      <c r="C8" t="s">
        <v>93</v>
      </c>
    </row>
    <row r="9" spans="1:9" x14ac:dyDescent="0.2">
      <c r="B9">
        <v>5</v>
      </c>
      <c r="C9" t="s">
        <v>94</v>
      </c>
    </row>
  </sheetData>
  <mergeCells count="1">
    <mergeCell ref="A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9CF3-BD03-D64F-BD02-868127518063}">
  <dimension ref="B2:D19"/>
  <sheetViews>
    <sheetView showGridLines="0" zoomScale="125" workbookViewId="0">
      <selection activeCell="C22" sqref="C22"/>
    </sheetView>
  </sheetViews>
  <sheetFormatPr baseColWidth="10" defaultRowHeight="16" x14ac:dyDescent="0.2"/>
  <cols>
    <col min="3" max="3" width="47.83203125" customWidth="1"/>
  </cols>
  <sheetData>
    <row r="2" spans="2:4" x14ac:dyDescent="0.2">
      <c r="B2" s="7" t="s">
        <v>12</v>
      </c>
      <c r="C2" s="7" t="s">
        <v>13</v>
      </c>
      <c r="D2" s="7"/>
    </row>
    <row r="3" spans="2:4" x14ac:dyDescent="0.2">
      <c r="B3" s="7"/>
      <c r="C3" s="7"/>
      <c r="D3" s="7"/>
    </row>
    <row r="4" spans="2:4" x14ac:dyDescent="0.2">
      <c r="B4" s="7" t="s">
        <v>51</v>
      </c>
      <c r="C4" t="s">
        <v>53</v>
      </c>
      <c r="D4" s="7"/>
    </row>
    <row r="5" spans="2:4" x14ac:dyDescent="0.2">
      <c r="B5" s="7"/>
      <c r="C5" s="7" t="s">
        <v>52</v>
      </c>
      <c r="D5" s="7"/>
    </row>
    <row r="6" spans="2:4" x14ac:dyDescent="0.2">
      <c r="B6" s="7" t="s">
        <v>14</v>
      </c>
      <c r="C6" s="7" t="s">
        <v>50</v>
      </c>
      <c r="D6" s="7"/>
    </row>
    <row r="7" spans="2:4" x14ac:dyDescent="0.2">
      <c r="B7" s="7" t="s">
        <v>15</v>
      </c>
      <c r="C7" s="7" t="s">
        <v>16</v>
      </c>
      <c r="D7" s="7"/>
    </row>
    <row r="8" spans="2:4" x14ac:dyDescent="0.2">
      <c r="B8" s="7" t="s">
        <v>56</v>
      </c>
      <c r="C8" s="7" t="s">
        <v>57</v>
      </c>
      <c r="D8" s="7"/>
    </row>
    <row r="9" spans="2:4" x14ac:dyDescent="0.2">
      <c r="B9" s="7" t="s">
        <v>58</v>
      </c>
      <c r="C9" s="7" t="s">
        <v>59</v>
      </c>
      <c r="D9" s="7"/>
    </row>
    <row r="10" spans="2:4" x14ac:dyDescent="0.2">
      <c r="B10" s="7" t="s">
        <v>63</v>
      </c>
      <c r="C10" s="7" t="s">
        <v>64</v>
      </c>
      <c r="D10" s="7"/>
    </row>
    <row r="11" spans="2:4" x14ac:dyDescent="0.2">
      <c r="B11" s="7" t="s">
        <v>67</v>
      </c>
      <c r="C11" s="7" t="s">
        <v>69</v>
      </c>
      <c r="D11" s="7"/>
    </row>
    <row r="12" spans="2:4" x14ac:dyDescent="0.2">
      <c r="B12" s="7" t="s">
        <v>68</v>
      </c>
      <c r="C12" s="7" t="s">
        <v>74</v>
      </c>
      <c r="D12" s="7"/>
    </row>
    <row r="13" spans="2:4" x14ac:dyDescent="0.2">
      <c r="B13" s="7" t="s">
        <v>75</v>
      </c>
      <c r="C13" s="7" t="s">
        <v>76</v>
      </c>
      <c r="D13" s="7"/>
    </row>
    <row r="14" spans="2:4" x14ac:dyDescent="0.2">
      <c r="B14" s="7" t="s">
        <v>77</v>
      </c>
      <c r="C14" s="7" t="s">
        <v>84</v>
      </c>
      <c r="D14" s="7"/>
    </row>
    <row r="15" spans="2:4" x14ac:dyDescent="0.2">
      <c r="B15" s="7" t="s">
        <v>82</v>
      </c>
      <c r="C15" s="7" t="s">
        <v>85</v>
      </c>
      <c r="D15" s="7"/>
    </row>
    <row r="16" spans="2:4" x14ac:dyDescent="0.2">
      <c r="B16" s="7" t="s">
        <v>86</v>
      </c>
      <c r="C16" s="7" t="s">
        <v>103</v>
      </c>
      <c r="D16" s="7"/>
    </row>
    <row r="17" spans="2:4" x14ac:dyDescent="0.2">
      <c r="B17" s="7" t="s">
        <v>87</v>
      </c>
      <c r="C17" s="7" t="s">
        <v>88</v>
      </c>
      <c r="D17" s="7"/>
    </row>
    <row r="18" spans="2:4" x14ac:dyDescent="0.2">
      <c r="B18" s="7" t="s">
        <v>89</v>
      </c>
      <c r="C18" s="7" t="s">
        <v>97</v>
      </c>
      <c r="D18" s="7"/>
    </row>
    <row r="19" spans="2:4" x14ac:dyDescent="0.2">
      <c r="B19" s="13" t="s">
        <v>95</v>
      </c>
      <c r="C19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20F9-A180-5F4F-971F-D1226A05F2D0}">
  <dimension ref="A2:I27"/>
  <sheetViews>
    <sheetView showGridLines="0" view="pageLayout" topLeftCell="A6" zoomScaleNormal="100" workbookViewId="0">
      <selection activeCell="F22" sqref="F22"/>
    </sheetView>
  </sheetViews>
  <sheetFormatPr baseColWidth="10" defaultRowHeight="16" x14ac:dyDescent="0.2"/>
  <cols>
    <col min="1" max="1" width="10" bestFit="1" customWidth="1"/>
    <col min="2" max="2" width="9.5" bestFit="1" customWidth="1"/>
    <col min="3" max="3" width="6" customWidth="1"/>
    <col min="4" max="4" width="11.5" customWidth="1"/>
    <col min="5" max="5" width="8.1640625" bestFit="1" customWidth="1"/>
    <col min="6" max="6" width="45" bestFit="1" customWidth="1"/>
    <col min="7" max="7" width="19.5" customWidth="1"/>
    <col min="8" max="8" width="2.5" bestFit="1" customWidth="1"/>
    <col min="9" max="9" width="2.33203125" bestFit="1" customWidth="1"/>
  </cols>
  <sheetData>
    <row r="2" spans="1:9" x14ac:dyDescent="0.2">
      <c r="A2" s="6" t="s">
        <v>17</v>
      </c>
      <c r="B2" s="16" t="s">
        <v>5</v>
      </c>
      <c r="C2" s="16"/>
      <c r="D2" s="16"/>
      <c r="F2" s="5" t="s">
        <v>12</v>
      </c>
      <c r="G2" s="17" t="s">
        <v>28</v>
      </c>
      <c r="H2" s="17"/>
    </row>
    <row r="3" spans="1:9" x14ac:dyDescent="0.2">
      <c r="A3" s="6"/>
      <c r="F3" s="5"/>
    </row>
    <row r="4" spans="1:9" x14ac:dyDescent="0.2">
      <c r="A4" s="6" t="s">
        <v>18</v>
      </c>
      <c r="B4" s="16" t="s">
        <v>19</v>
      </c>
      <c r="C4" s="16"/>
      <c r="D4" s="16"/>
      <c r="F4" s="5" t="s">
        <v>20</v>
      </c>
      <c r="G4" s="17"/>
      <c r="H4" s="17"/>
    </row>
    <row r="6" spans="1:9" s="10" customFormat="1" ht="34" x14ac:dyDescent="0.2">
      <c r="A6" s="11" t="s">
        <v>12</v>
      </c>
      <c r="B6" s="11" t="s">
        <v>21</v>
      </c>
      <c r="C6" s="11" t="s">
        <v>22</v>
      </c>
      <c r="D6" s="11" t="s">
        <v>23</v>
      </c>
      <c r="E6" s="11" t="s">
        <v>29</v>
      </c>
      <c r="F6" s="11" t="s">
        <v>24</v>
      </c>
      <c r="G6" s="11" t="s">
        <v>25</v>
      </c>
      <c r="H6" s="11" t="s">
        <v>26</v>
      </c>
      <c r="I6" s="11" t="s">
        <v>27</v>
      </c>
    </row>
    <row r="7" spans="1:9" x14ac:dyDescent="0.2">
      <c r="A7" s="7" t="s">
        <v>51</v>
      </c>
      <c r="B7" s="8">
        <v>0.20833333333333334</v>
      </c>
      <c r="C7" s="8">
        <v>0.27083333333333331</v>
      </c>
      <c r="D7" s="7">
        <v>0</v>
      </c>
      <c r="E7" s="7">
        <f t="shared" ref="E7:E11" si="0">((C7-B7)+D7)*1440</f>
        <v>89.999999999999957</v>
      </c>
      <c r="F7" s="7" t="s">
        <v>54</v>
      </c>
      <c r="G7" s="7"/>
      <c r="H7" s="7"/>
      <c r="I7" s="7"/>
    </row>
    <row r="8" spans="1:9" x14ac:dyDescent="0.2">
      <c r="A8" s="7"/>
      <c r="B8" s="8">
        <v>0.27083333333333331</v>
      </c>
      <c r="C8" s="8">
        <v>0.29166666666666669</v>
      </c>
      <c r="D8" s="7">
        <v>0</v>
      </c>
      <c r="E8" s="7">
        <f t="shared" si="0"/>
        <v>30.000000000000053</v>
      </c>
      <c r="F8" s="7" t="s">
        <v>55</v>
      </c>
      <c r="G8" s="7"/>
      <c r="H8" s="7"/>
      <c r="I8" s="7"/>
    </row>
    <row r="9" spans="1:9" x14ac:dyDescent="0.2">
      <c r="A9" s="7" t="s">
        <v>14</v>
      </c>
      <c r="B9" s="8">
        <v>0.20833333333333334</v>
      </c>
      <c r="C9" s="8">
        <v>0.24166666666666667</v>
      </c>
      <c r="D9" s="7">
        <v>0</v>
      </c>
      <c r="E9" s="7">
        <f t="shared" si="0"/>
        <v>47.999999999999986</v>
      </c>
      <c r="F9" s="7" t="s">
        <v>30</v>
      </c>
      <c r="G9" s="7"/>
      <c r="H9" s="7"/>
      <c r="I9" s="7"/>
    </row>
    <row r="10" spans="1:9" x14ac:dyDescent="0.2">
      <c r="A10" s="7" t="s">
        <v>15</v>
      </c>
      <c r="B10" s="8">
        <v>0.22916666666666666</v>
      </c>
      <c r="C10" s="8">
        <v>0.29166666666666669</v>
      </c>
      <c r="D10" s="7"/>
      <c r="E10" s="7">
        <f t="shared" si="0"/>
        <v>90.000000000000043</v>
      </c>
      <c r="F10" s="7" t="s">
        <v>39</v>
      </c>
      <c r="G10" s="7"/>
      <c r="H10" s="7"/>
      <c r="I10" s="7"/>
    </row>
    <row r="11" spans="1:9" x14ac:dyDescent="0.2">
      <c r="A11" s="7" t="s">
        <v>56</v>
      </c>
      <c r="B11" s="8">
        <v>0.40208333333333335</v>
      </c>
      <c r="C11" s="8">
        <v>0.45208333333333334</v>
      </c>
      <c r="D11" s="8">
        <v>6.9444444444444441E-3</v>
      </c>
      <c r="E11" s="7">
        <f t="shared" si="0"/>
        <v>81.999999999999986</v>
      </c>
      <c r="F11" s="7" t="s">
        <v>57</v>
      </c>
      <c r="G11" s="7"/>
      <c r="H11" s="7"/>
      <c r="I11" s="7"/>
    </row>
    <row r="12" spans="1:9" x14ac:dyDescent="0.2">
      <c r="A12" s="7" t="s">
        <v>58</v>
      </c>
      <c r="B12" s="8">
        <v>0.77083333333333337</v>
      </c>
      <c r="C12" s="8">
        <v>0.92708333333333337</v>
      </c>
      <c r="D12" s="8">
        <v>1.7361111111111112E-2</v>
      </c>
      <c r="E12" s="7">
        <f t="shared" ref="E12:E27" si="1">((C12-B12)+D12)*1440</f>
        <v>250</v>
      </c>
      <c r="F12" s="7" t="s">
        <v>59</v>
      </c>
      <c r="G12" s="7"/>
      <c r="H12" s="7"/>
      <c r="I12" s="7"/>
    </row>
    <row r="13" spans="1:9" x14ac:dyDescent="0.2">
      <c r="A13" s="7" t="s">
        <v>60</v>
      </c>
      <c r="B13" s="8">
        <v>0.67013888888888884</v>
      </c>
      <c r="C13" s="8">
        <v>0.83888888888888891</v>
      </c>
      <c r="D13" s="8">
        <v>1.7361111111111112E-2</v>
      </c>
      <c r="E13" s="7">
        <f t="shared" si="1"/>
        <v>268.00000000000011</v>
      </c>
      <c r="F13" s="7" t="s">
        <v>62</v>
      </c>
      <c r="G13" s="7"/>
      <c r="H13" s="7" t="s">
        <v>61</v>
      </c>
      <c r="I13" s="7">
        <v>7</v>
      </c>
    </row>
    <row r="14" spans="1:9" x14ac:dyDescent="0.2">
      <c r="A14" s="7" t="s">
        <v>63</v>
      </c>
      <c r="B14" s="8">
        <v>0.59375</v>
      </c>
      <c r="C14" s="8">
        <v>0.6875</v>
      </c>
      <c r="D14" s="8">
        <v>1.7361111111111112E-2</v>
      </c>
      <c r="E14" s="7">
        <f t="shared" si="1"/>
        <v>160</v>
      </c>
      <c r="F14" s="7" t="s">
        <v>66</v>
      </c>
      <c r="G14" s="7"/>
      <c r="H14" s="7"/>
      <c r="I14" s="7"/>
    </row>
    <row r="15" spans="1:9" x14ac:dyDescent="0.2">
      <c r="A15" s="7" t="s">
        <v>63</v>
      </c>
      <c r="B15" s="8">
        <v>0.91527777777777775</v>
      </c>
      <c r="C15" s="8">
        <v>0.96111111111111114</v>
      </c>
      <c r="D15" s="7">
        <v>0</v>
      </c>
      <c r="E15" s="7">
        <f t="shared" si="1"/>
        <v>66.000000000000085</v>
      </c>
      <c r="F15" s="7" t="s">
        <v>65</v>
      </c>
      <c r="G15" s="7"/>
      <c r="H15" s="7"/>
      <c r="I15" s="7"/>
    </row>
    <row r="16" spans="1:9" x14ac:dyDescent="0.2">
      <c r="A16" s="7" t="s">
        <v>67</v>
      </c>
      <c r="B16" s="8">
        <v>0.36666666666666664</v>
      </c>
      <c r="C16" s="8">
        <v>0.3923611111111111</v>
      </c>
      <c r="D16" s="7">
        <v>0</v>
      </c>
      <c r="E16" s="7">
        <f t="shared" si="1"/>
        <v>37.000000000000028</v>
      </c>
      <c r="F16" s="7" t="s">
        <v>69</v>
      </c>
      <c r="G16" s="7"/>
      <c r="H16" s="7" t="s">
        <v>61</v>
      </c>
      <c r="I16" s="7">
        <v>7</v>
      </c>
    </row>
    <row r="17" spans="1:9" x14ac:dyDescent="0.2">
      <c r="A17" s="7" t="s">
        <v>68</v>
      </c>
      <c r="B17" s="8">
        <v>0.16666666666666666</v>
      </c>
      <c r="C17" s="8">
        <v>0.21597222222222223</v>
      </c>
      <c r="D17" s="7">
        <v>0</v>
      </c>
      <c r="E17" s="7">
        <f t="shared" si="1"/>
        <v>71.000000000000028</v>
      </c>
      <c r="F17" s="7" t="s">
        <v>74</v>
      </c>
      <c r="G17" s="7"/>
      <c r="H17" s="7"/>
      <c r="I17" s="7"/>
    </row>
    <row r="18" spans="1:9" x14ac:dyDescent="0.2">
      <c r="A18" s="7" t="s">
        <v>75</v>
      </c>
      <c r="B18" s="8">
        <v>0.41805555555555557</v>
      </c>
      <c r="C18" s="8">
        <v>0.46111111111111114</v>
      </c>
      <c r="D18" s="8">
        <v>2.0833333333333333E-3</v>
      </c>
      <c r="E18" s="7">
        <f t="shared" si="1"/>
        <v>65.000000000000014</v>
      </c>
      <c r="F18" s="7" t="s">
        <v>76</v>
      </c>
      <c r="G18" s="7"/>
      <c r="H18" s="7" t="s">
        <v>61</v>
      </c>
      <c r="I18" s="7">
        <v>1</v>
      </c>
    </row>
    <row r="19" spans="1:9" x14ac:dyDescent="0.2">
      <c r="A19" s="7" t="s">
        <v>77</v>
      </c>
      <c r="B19" s="8">
        <v>0.66319444444444442</v>
      </c>
      <c r="C19" s="8">
        <v>0.93819444444444444</v>
      </c>
      <c r="D19" s="8">
        <v>6.9444444444444448E-2</v>
      </c>
      <c r="E19" s="7">
        <f t="shared" si="1"/>
        <v>496</v>
      </c>
      <c r="F19" s="7" t="s">
        <v>78</v>
      </c>
      <c r="G19" s="7" t="s">
        <v>79</v>
      </c>
      <c r="H19" s="7" t="s">
        <v>61</v>
      </c>
      <c r="I19" s="7">
        <v>7</v>
      </c>
    </row>
    <row r="20" spans="1:9" x14ac:dyDescent="0.2">
      <c r="A20" s="7" t="s">
        <v>82</v>
      </c>
      <c r="B20" s="8">
        <v>0.70833333333333337</v>
      </c>
      <c r="C20" s="8">
        <v>0.79513888888888884</v>
      </c>
      <c r="D20" s="7">
        <v>0</v>
      </c>
      <c r="E20" s="7">
        <f t="shared" si="1"/>
        <v>124.99999999999987</v>
      </c>
      <c r="F20" s="7" t="s">
        <v>83</v>
      </c>
      <c r="H20" s="7" t="s">
        <v>61</v>
      </c>
      <c r="I20" s="7">
        <v>2</v>
      </c>
    </row>
    <row r="21" spans="1:9" x14ac:dyDescent="0.2">
      <c r="A21" s="7" t="s">
        <v>86</v>
      </c>
      <c r="B21" s="8">
        <v>0.4236111111111111</v>
      </c>
      <c r="C21" s="8">
        <v>0.45277777777777778</v>
      </c>
      <c r="D21" s="7">
        <v>0</v>
      </c>
      <c r="E21" s="7">
        <f t="shared" si="1"/>
        <v>42.000000000000014</v>
      </c>
      <c r="F21" s="7" t="s">
        <v>103</v>
      </c>
      <c r="G21" s="7"/>
      <c r="H21" s="7"/>
      <c r="I21" s="7"/>
    </row>
    <row r="22" spans="1:9" x14ac:dyDescent="0.2">
      <c r="A22" s="7" t="s">
        <v>87</v>
      </c>
      <c r="B22" s="8">
        <v>0.2590277777777778</v>
      </c>
      <c r="C22" s="8">
        <v>0.34305555555555556</v>
      </c>
      <c r="D22" s="8">
        <v>2.0833333333333332E-2</v>
      </c>
      <c r="E22" s="7">
        <f t="shared" si="1"/>
        <v>150.99999999999997</v>
      </c>
      <c r="F22" s="7" t="s">
        <v>88</v>
      </c>
      <c r="G22" s="7"/>
      <c r="H22" s="7"/>
      <c r="I22" s="7">
        <v>2</v>
      </c>
    </row>
    <row r="23" spans="1:9" x14ac:dyDescent="0.2">
      <c r="A23" s="7" t="s">
        <v>89</v>
      </c>
      <c r="B23" s="8">
        <v>0.4375</v>
      </c>
      <c r="C23" s="8">
        <v>0.54236111111111107</v>
      </c>
      <c r="D23" s="8">
        <v>1.3888888888888888E-2</v>
      </c>
      <c r="E23" s="7">
        <f t="shared" si="1"/>
        <v>170.99999999999994</v>
      </c>
      <c r="F23" s="7" t="s">
        <v>90</v>
      </c>
      <c r="G23" s="7"/>
      <c r="H23" s="7"/>
      <c r="I23" s="7"/>
    </row>
    <row r="24" spans="1:9" x14ac:dyDescent="0.2">
      <c r="A24" s="7" t="s">
        <v>89</v>
      </c>
      <c r="B24" s="8">
        <v>0.76388888888888884</v>
      </c>
      <c r="C24" s="8">
        <v>0.89930555555555558</v>
      </c>
      <c r="D24" s="7">
        <v>0</v>
      </c>
      <c r="E24" s="7">
        <f t="shared" si="1"/>
        <v>195.00000000000011</v>
      </c>
      <c r="F24" s="7" t="s">
        <v>91</v>
      </c>
      <c r="G24" s="7"/>
      <c r="H24" s="7"/>
      <c r="I24" s="7"/>
    </row>
    <row r="25" spans="1:9" x14ac:dyDescent="0.2">
      <c r="A25" s="7" t="s">
        <v>95</v>
      </c>
      <c r="B25" s="8">
        <v>0.33194444444444443</v>
      </c>
      <c r="C25" s="8">
        <v>0.40625</v>
      </c>
      <c r="D25" s="8">
        <v>1.0416666666666666E-2</v>
      </c>
      <c r="E25" s="7">
        <f t="shared" si="1"/>
        <v>122.00000000000003</v>
      </c>
      <c r="F25" s="7" t="s">
        <v>98</v>
      </c>
      <c r="G25" s="7"/>
      <c r="H25" s="7" t="s">
        <v>100</v>
      </c>
      <c r="I25" s="7">
        <v>1</v>
      </c>
    </row>
    <row r="26" spans="1:9" x14ac:dyDescent="0.2">
      <c r="A26" s="7" t="s">
        <v>95</v>
      </c>
      <c r="B26" s="8">
        <v>0.81666666666666665</v>
      </c>
      <c r="C26" s="8">
        <v>0.91666666666666663</v>
      </c>
      <c r="D26" s="7"/>
      <c r="E26" s="7">
        <f t="shared" si="1"/>
        <v>143.99999999999997</v>
      </c>
      <c r="F26" s="7" t="s">
        <v>99</v>
      </c>
      <c r="G26" s="7"/>
      <c r="H26" s="7"/>
      <c r="I26" s="7"/>
    </row>
    <row r="27" spans="1:9" x14ac:dyDescent="0.2">
      <c r="A27" s="7" t="s">
        <v>101</v>
      </c>
      <c r="B27" s="8">
        <v>0.38333333333333336</v>
      </c>
      <c r="C27" s="8">
        <v>0.6875</v>
      </c>
      <c r="D27" s="8">
        <v>0.125</v>
      </c>
      <c r="E27" s="7">
        <f t="shared" si="1"/>
        <v>618</v>
      </c>
      <c r="F27" s="7" t="s">
        <v>102</v>
      </c>
      <c r="G27" s="7"/>
      <c r="H27" s="7" t="s">
        <v>61</v>
      </c>
      <c r="I27" s="7">
        <v>1</v>
      </c>
    </row>
  </sheetData>
  <mergeCells count="4">
    <mergeCell ref="B2:D2"/>
    <mergeCell ref="G2:H2"/>
    <mergeCell ref="B4:D4"/>
    <mergeCell ref="G4:H4"/>
  </mergeCells>
  <pageMargins left="0.7" right="0.7" top="0.75" bottom="0.75" header="0.3" footer="0.3"/>
  <pageSetup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3CC3-69EB-004D-A023-EEB5D3445481}">
  <dimension ref="B2:K27"/>
  <sheetViews>
    <sheetView showGridLines="0" tabSelected="1" workbookViewId="0">
      <selection activeCell="K13" sqref="K13"/>
    </sheetView>
  </sheetViews>
  <sheetFormatPr baseColWidth="10" defaultRowHeight="16" x14ac:dyDescent="0.2"/>
  <cols>
    <col min="9" max="9" width="12.1640625" customWidth="1"/>
  </cols>
  <sheetData>
    <row r="2" spans="2:11" x14ac:dyDescent="0.2">
      <c r="B2" s="6" t="s">
        <v>17</v>
      </c>
      <c r="C2" s="16" t="s">
        <v>5</v>
      </c>
      <c r="D2" s="16"/>
      <c r="E2" s="16"/>
      <c r="G2" s="5" t="s">
        <v>12</v>
      </c>
      <c r="H2" s="17" t="s">
        <v>28</v>
      </c>
      <c r="I2" s="17"/>
    </row>
    <row r="4" spans="2:11" x14ac:dyDescent="0.2">
      <c r="B4" s="7" t="s">
        <v>31</v>
      </c>
      <c r="C4" s="7" t="s">
        <v>53</v>
      </c>
      <c r="D4" s="7" t="s">
        <v>81</v>
      </c>
      <c r="E4" s="7" t="s">
        <v>80</v>
      </c>
      <c r="F4" s="7"/>
      <c r="G4" s="7"/>
      <c r="H4" s="7"/>
      <c r="I4" s="7"/>
      <c r="J4" s="7"/>
      <c r="K4" s="7" t="s">
        <v>40</v>
      </c>
    </row>
    <row r="5" spans="2:11" x14ac:dyDescent="0.2">
      <c r="B5" s="7" t="s">
        <v>12</v>
      </c>
      <c r="C5" s="7" t="s">
        <v>70</v>
      </c>
      <c r="D5" s="7" t="s">
        <v>71</v>
      </c>
      <c r="E5" s="7" t="s">
        <v>72</v>
      </c>
      <c r="F5" s="7" t="s">
        <v>73</v>
      </c>
      <c r="G5" s="7" t="s">
        <v>92</v>
      </c>
      <c r="H5" s="7"/>
      <c r="I5" s="7"/>
      <c r="J5" s="7"/>
      <c r="K5" s="7"/>
    </row>
    <row r="6" spans="2:11" x14ac:dyDescent="0.2">
      <c r="B6" s="7" t="s">
        <v>32</v>
      </c>
      <c r="C6" s="7"/>
      <c r="D6" s="7">
        <v>0</v>
      </c>
      <c r="E6" s="7">
        <v>0</v>
      </c>
      <c r="F6" s="7">
        <v>71</v>
      </c>
      <c r="G6" s="7">
        <v>0</v>
      </c>
      <c r="H6" s="7"/>
      <c r="I6" s="7"/>
      <c r="J6" s="7"/>
      <c r="K6" s="7">
        <f>SUM(C6:J6)</f>
        <v>71</v>
      </c>
    </row>
    <row r="7" spans="2:11" x14ac:dyDescent="0.2">
      <c r="B7" s="7" t="s">
        <v>33</v>
      </c>
      <c r="C7" s="7"/>
      <c r="D7" s="7">
        <v>48</v>
      </c>
      <c r="E7" s="7">
        <v>0</v>
      </c>
      <c r="F7" s="7">
        <v>65</v>
      </c>
      <c r="G7" s="7">
        <v>0</v>
      </c>
      <c r="H7" s="7"/>
      <c r="I7" s="7"/>
      <c r="J7" s="7"/>
      <c r="K7" s="7">
        <f t="shared" ref="K7:K12" si="0">SUM(C7:J7)</f>
        <v>113</v>
      </c>
    </row>
    <row r="8" spans="2:11" x14ac:dyDescent="0.2">
      <c r="B8" s="7" t="s">
        <v>34</v>
      </c>
      <c r="C8" s="7">
        <v>120</v>
      </c>
      <c r="D8" s="7">
        <v>0</v>
      </c>
      <c r="E8" s="7">
        <v>250</v>
      </c>
      <c r="F8" s="7">
        <v>496</v>
      </c>
      <c r="G8" s="7">
        <v>0</v>
      </c>
      <c r="H8" s="7"/>
      <c r="I8" s="7"/>
      <c r="J8" s="7"/>
      <c r="K8" s="7">
        <f t="shared" si="0"/>
        <v>866</v>
      </c>
    </row>
    <row r="9" spans="2:11" x14ac:dyDescent="0.2">
      <c r="B9" s="7" t="s">
        <v>34</v>
      </c>
      <c r="C9" s="7"/>
      <c r="D9" s="7">
        <v>90</v>
      </c>
      <c r="E9" s="7">
        <v>268</v>
      </c>
      <c r="F9" s="7">
        <v>125</v>
      </c>
      <c r="G9" s="7">
        <f>175+195</f>
        <v>370</v>
      </c>
      <c r="H9" s="7"/>
      <c r="I9" s="7"/>
      <c r="J9" s="7"/>
      <c r="K9" s="7">
        <f t="shared" si="0"/>
        <v>853</v>
      </c>
    </row>
    <row r="10" spans="2:11" x14ac:dyDescent="0.2">
      <c r="B10" s="7" t="s">
        <v>35</v>
      </c>
      <c r="C10" s="7"/>
      <c r="D10" s="7">
        <v>82</v>
      </c>
      <c r="E10" s="7">
        <v>0</v>
      </c>
      <c r="F10" s="7">
        <v>42</v>
      </c>
      <c r="G10" s="7">
        <f>122+144</f>
        <v>266</v>
      </c>
      <c r="H10" s="7"/>
      <c r="I10" s="7"/>
      <c r="J10" s="7"/>
      <c r="K10" s="7">
        <f t="shared" si="0"/>
        <v>390</v>
      </c>
    </row>
    <row r="11" spans="2:11" x14ac:dyDescent="0.2">
      <c r="B11" s="7" t="s">
        <v>36</v>
      </c>
      <c r="C11" s="7"/>
      <c r="D11" s="7">
        <v>0</v>
      </c>
      <c r="E11" s="7">
        <v>226</v>
      </c>
      <c r="F11" s="7">
        <v>0</v>
      </c>
      <c r="G11" s="7">
        <v>0</v>
      </c>
      <c r="H11" s="7"/>
      <c r="I11" s="7"/>
      <c r="J11" s="7"/>
      <c r="K11" s="7">
        <f t="shared" si="0"/>
        <v>226</v>
      </c>
    </row>
    <row r="12" spans="2:11" x14ac:dyDescent="0.2">
      <c r="B12" s="7" t="s">
        <v>37</v>
      </c>
      <c r="C12" s="7"/>
      <c r="D12" s="7">
        <v>0</v>
      </c>
      <c r="E12" s="7">
        <v>37</v>
      </c>
      <c r="F12" s="7">
        <v>151</v>
      </c>
      <c r="G12" s="7">
        <v>618</v>
      </c>
      <c r="H12" s="7"/>
      <c r="I12" s="7"/>
      <c r="J12" s="7"/>
      <c r="K12" s="7">
        <f t="shared" si="0"/>
        <v>806</v>
      </c>
    </row>
    <row r="13" spans="2:11" x14ac:dyDescent="0.2">
      <c r="B13" s="7" t="s">
        <v>38</v>
      </c>
      <c r="C13" s="7">
        <f>SUM(C6:C12)</f>
        <v>120</v>
      </c>
      <c r="D13" s="7">
        <f t="shared" ref="D13:J13" si="1">SUM(D6:D12)</f>
        <v>220</v>
      </c>
      <c r="E13" s="7">
        <f t="shared" si="1"/>
        <v>781</v>
      </c>
      <c r="F13" s="7">
        <f t="shared" si="1"/>
        <v>950</v>
      </c>
      <c r="G13" s="7">
        <f t="shared" si="1"/>
        <v>1254</v>
      </c>
      <c r="H13" s="7">
        <f t="shared" si="1"/>
        <v>0</v>
      </c>
      <c r="I13" s="7">
        <f t="shared" si="1"/>
        <v>0</v>
      </c>
      <c r="J13" s="7">
        <f t="shared" si="1"/>
        <v>0</v>
      </c>
      <c r="K13" s="7">
        <f>SUM(K6:K12)</f>
        <v>3325</v>
      </c>
    </row>
    <row r="15" spans="2:11" x14ac:dyDescent="0.2">
      <c r="B15" t="s">
        <v>41</v>
      </c>
      <c r="G15" s="18" t="s">
        <v>42</v>
      </c>
      <c r="H15" s="18"/>
      <c r="I15" s="18"/>
      <c r="J15" s="17">
        <v>5</v>
      </c>
      <c r="K15" s="17"/>
    </row>
    <row r="17" spans="2:11" x14ac:dyDescent="0.2">
      <c r="B17" t="s">
        <v>43</v>
      </c>
    </row>
    <row r="18" spans="2:11" x14ac:dyDescent="0.2">
      <c r="B18" s="7" t="s">
        <v>38</v>
      </c>
      <c r="C18" s="7">
        <f>C13</f>
        <v>120</v>
      </c>
      <c r="D18" s="7">
        <f>D13</f>
        <v>220</v>
      </c>
      <c r="E18" s="7">
        <f>E13</f>
        <v>781</v>
      </c>
      <c r="F18" s="7">
        <f>F13</f>
        <v>950</v>
      </c>
      <c r="G18" s="7">
        <f>G13</f>
        <v>1254</v>
      </c>
      <c r="H18" s="7"/>
      <c r="I18" s="7"/>
      <c r="J18" s="7"/>
      <c r="K18" s="7"/>
    </row>
    <row r="19" spans="2:11" x14ac:dyDescent="0.2">
      <c r="B19" s="7" t="s">
        <v>44</v>
      </c>
      <c r="C19" s="7">
        <f>AVERAGE(C6:C12)</f>
        <v>120</v>
      </c>
      <c r="D19" s="12">
        <f>AVERAGE(D6:D12)</f>
        <v>31.428571428571427</v>
      </c>
      <c r="E19" s="12">
        <f>AVERAGE(E6:E12)</f>
        <v>111.57142857142857</v>
      </c>
      <c r="F19" s="12">
        <f>AVERAGE(F6:F12)</f>
        <v>135.71428571428572</v>
      </c>
      <c r="G19" s="12">
        <f>AVERAGE(G6:G12)</f>
        <v>179.14285714285714</v>
      </c>
      <c r="H19" s="7"/>
      <c r="I19" s="7"/>
      <c r="J19" s="7"/>
      <c r="K19" s="7"/>
    </row>
    <row r="20" spans="2:11" x14ac:dyDescent="0.2">
      <c r="B20" s="7" t="s">
        <v>45</v>
      </c>
      <c r="C20" s="7">
        <f>MAX(C6:C12)</f>
        <v>120</v>
      </c>
      <c r="D20" s="7">
        <f>MAX(D6:D12)</f>
        <v>90</v>
      </c>
      <c r="E20" s="7">
        <f>MAX(E6:E12)</f>
        <v>268</v>
      </c>
      <c r="F20" s="7">
        <f>MAX(F6:F12)</f>
        <v>496</v>
      </c>
      <c r="G20" s="7">
        <f>MAX(G6:G12)</f>
        <v>618</v>
      </c>
      <c r="H20" s="7"/>
      <c r="I20" s="7"/>
      <c r="J20" s="7"/>
      <c r="K20" s="7"/>
    </row>
    <row r="21" spans="2:11" x14ac:dyDescent="0.2">
      <c r="B21" s="7" t="s">
        <v>46</v>
      </c>
      <c r="C21" s="7">
        <f>MIN(C6:C12)</f>
        <v>120</v>
      </c>
      <c r="D21" s="7">
        <f>MIN(D6:D12)</f>
        <v>0</v>
      </c>
      <c r="E21" s="7">
        <f>MIN(E6:E12)</f>
        <v>0</v>
      </c>
      <c r="F21" s="7">
        <f>MIN(F6:F12)</f>
        <v>0</v>
      </c>
      <c r="G21" s="7">
        <f>MIN(G6:G12)</f>
        <v>0</v>
      </c>
      <c r="H21" s="7"/>
      <c r="I21" s="7"/>
      <c r="J21" s="7"/>
      <c r="K21" s="7"/>
    </row>
    <row r="23" spans="2:11" x14ac:dyDescent="0.2">
      <c r="B23" t="s">
        <v>47</v>
      </c>
    </row>
    <row r="24" spans="2:11" x14ac:dyDescent="0.2">
      <c r="B24" s="7" t="s">
        <v>40</v>
      </c>
      <c r="C24" s="7">
        <f>C18</f>
        <v>120</v>
      </c>
      <c r="D24" s="7">
        <f>SUM(C18:D18)</f>
        <v>340</v>
      </c>
      <c r="E24" s="7">
        <f>SUM(C18:E18)</f>
        <v>1121</v>
      </c>
      <c r="F24" s="7">
        <f>SUM(C18:F18)</f>
        <v>2071</v>
      </c>
      <c r="G24" s="7">
        <f>SUM(C18:G18)</f>
        <v>3325</v>
      </c>
      <c r="H24" s="7"/>
      <c r="I24" s="7"/>
      <c r="J24" s="7"/>
      <c r="K24" s="7"/>
    </row>
    <row r="25" spans="2:11" x14ac:dyDescent="0.2">
      <c r="B25" s="7" t="s">
        <v>48</v>
      </c>
      <c r="C25" s="7">
        <f>C19</f>
        <v>120</v>
      </c>
      <c r="D25" s="12">
        <f>AVERAGE(C19:D19)</f>
        <v>75.714285714285708</v>
      </c>
      <c r="E25" s="12">
        <f>AVERAGE(C19:E19)</f>
        <v>87.666666666666671</v>
      </c>
      <c r="F25" s="12">
        <f>AVERAGE(C19:F19)</f>
        <v>99.678571428571431</v>
      </c>
      <c r="G25" s="7">
        <f>AVERAGE(C19:G19)</f>
        <v>115.57142857142858</v>
      </c>
      <c r="H25" s="7"/>
      <c r="I25" s="7"/>
      <c r="J25" s="7"/>
      <c r="K25" s="7"/>
    </row>
    <row r="26" spans="2:11" x14ac:dyDescent="0.2">
      <c r="B26" s="7" t="s">
        <v>45</v>
      </c>
      <c r="C26" s="7">
        <f>C20</f>
        <v>120</v>
      </c>
      <c r="D26" s="7">
        <f>MAX(C20:D20)</f>
        <v>120</v>
      </c>
      <c r="E26" s="7">
        <f>MAX(C20:E20)</f>
        <v>268</v>
      </c>
      <c r="F26" s="7">
        <f>MAX(C20:F20)</f>
        <v>496</v>
      </c>
      <c r="G26" s="7">
        <f>MAX(C20:G20)</f>
        <v>618</v>
      </c>
      <c r="H26" s="7"/>
      <c r="I26" s="7"/>
      <c r="J26" s="7"/>
      <c r="K26" s="7"/>
    </row>
    <row r="27" spans="2:11" x14ac:dyDescent="0.2">
      <c r="B27" s="7" t="s">
        <v>49</v>
      </c>
      <c r="C27" s="7">
        <f>C21</f>
        <v>120</v>
      </c>
      <c r="D27" s="7">
        <f>MIN(C21:D21)</f>
        <v>0</v>
      </c>
      <c r="E27" s="7">
        <f>MIN(C21:E21)</f>
        <v>0</v>
      </c>
      <c r="F27" s="7">
        <f>MIN(C21:F21)</f>
        <v>0</v>
      </c>
      <c r="G27" s="7">
        <f>MIN(C21:G21)</f>
        <v>0</v>
      </c>
      <c r="H27" s="7"/>
      <c r="I27" s="7"/>
      <c r="J27" s="7"/>
      <c r="K27" s="7"/>
    </row>
  </sheetData>
  <mergeCells count="4">
    <mergeCell ref="C2:E2"/>
    <mergeCell ref="H2:I2"/>
    <mergeCell ref="G15:I15"/>
    <mergeCell ref="J15:K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5C35-6E15-E84D-8A08-8EAB4338D039}">
  <dimension ref="A1"/>
  <sheetViews>
    <sheetView workbookViewId="0">
      <selection activeCell="A8" sqref="A8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Indice</vt:lpstr>
      <vt:lpstr>3. Actividades</vt:lpstr>
      <vt:lpstr>4.Control de las Interrupciones</vt:lpstr>
      <vt:lpstr>5. Resumen semanal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PEREZ, PATRICIA</dc:creator>
  <cp:lastModifiedBy>JAIME PEREZ, PATRICIA</cp:lastModifiedBy>
  <dcterms:created xsi:type="dcterms:W3CDTF">2026-04-22T23:25:30Z</dcterms:created>
  <dcterms:modified xsi:type="dcterms:W3CDTF">2026-05-17T17:00:26Z</dcterms:modified>
</cp:coreProperties>
</file>