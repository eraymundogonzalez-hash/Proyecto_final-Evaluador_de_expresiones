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a1bc033c7d84bc7/Desktop/"/>
    </mc:Choice>
  </mc:AlternateContent>
  <xr:revisionPtr revIDLastSave="0" documentId="8_{FDD110C1-A816-4E5C-9B45-D8953BD70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aderno de Ingeniería" sheetId="1" r:id="rId1"/>
    <sheet name="Registro de Tiempos" sheetId="2" r:id="rId2"/>
    <sheet name="Resumen Seman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8" i="3"/>
  <c r="D7" i="3"/>
  <c r="D6" i="3"/>
  <c r="D5" i="3"/>
  <c r="D4" i="3"/>
  <c r="D10" i="3" s="1"/>
  <c r="G7" i="2"/>
  <c r="F7" i="2"/>
  <c r="E7" i="2"/>
  <c r="D7" i="2"/>
  <c r="C7" i="2"/>
  <c r="E16" i="1"/>
  <c r="F16" i="1" s="1"/>
  <c r="D11" i="3" l="1"/>
  <c r="D8" i="3"/>
  <c r="D9" i="3"/>
</calcChain>
</file>

<file path=xl/sharedStrings.xml><?xml version="1.0" encoding="utf-8"?>
<sst xmlns="http://schemas.openxmlformats.org/spreadsheetml/2006/main" count="120" uniqueCount="88">
  <si>
    <t>PSP — Cuaderno de Ingeniería</t>
  </si>
  <si>
    <t>Estudiante: Israel Dueñas Muro</t>
  </si>
  <si>
    <t>Clase: Ingeniería de Software</t>
  </si>
  <si>
    <t>Fecha</t>
  </si>
  <si>
    <t>Inicio</t>
  </si>
  <si>
    <t>Fin</t>
  </si>
  <si>
    <t>Interrupciones (min)</t>
  </si>
  <si>
    <t>Tiempo Neto (min)</t>
  </si>
  <si>
    <t>Actividad</t>
  </si>
  <si>
    <t>Comentarios</t>
  </si>
  <si>
    <t>C</t>
  </si>
  <si>
    <t>U</t>
  </si>
  <si>
    <t>22/04/2026</t>
  </si>
  <si>
    <t>20:00</t>
  </si>
  <si>
    <t>21:30</t>
  </si>
  <si>
    <t>Documento</t>
  </si>
  <si>
    <t>Primera versión del 830</t>
  </si>
  <si>
    <t>28/04/2026</t>
  </si>
  <si>
    <t>17:00</t>
  </si>
  <si>
    <t>21:00</t>
  </si>
  <si>
    <t>Diseño</t>
  </si>
  <si>
    <t>Inicio de diagramas RF-03 y RF-07</t>
  </si>
  <si>
    <t>30/04/2026</t>
  </si>
  <si>
    <t>Acomodo de requerimientos funcionales y diagramas RF-03 y RF-07</t>
  </si>
  <si>
    <t>04/05/2026</t>
  </si>
  <si>
    <t>22:00</t>
  </si>
  <si>
    <t>Integración</t>
  </si>
  <si>
    <t>Subida de diagramas a Git, cambio al 830 e integración con versión de Ana</t>
  </si>
  <si>
    <t>05/05/2026</t>
  </si>
  <si>
    <t>18:50</t>
  </si>
  <si>
    <t>20:50</t>
  </si>
  <si>
    <t>Reunión</t>
  </si>
  <si>
    <t>Meet con equipo por Zoom para afinar detalles del proyecto</t>
  </si>
  <si>
    <t>Verificación de TDCU, agregado de faltantes con formato del maestro (RF-02, RF-03, RF-04, RF-07, RF-08)</t>
  </si>
  <si>
    <t>11/05/2026</t>
  </si>
  <si>
    <t>14:56</t>
  </si>
  <si>
    <t>15:30</t>
  </si>
  <si>
    <t>Subida de diagramas corregidos a Git</t>
  </si>
  <si>
    <t>12/05/2026</t>
  </si>
  <si>
    <t>11:30</t>
  </si>
  <si>
    <t>13:00</t>
  </si>
  <si>
    <t>Estimación</t>
  </si>
  <si>
    <t>Elaboración de COCOMO y puntos de función</t>
  </si>
  <si>
    <t>14/05/2026</t>
  </si>
  <si>
    <t>16:00</t>
  </si>
  <si>
    <t>18:15</t>
  </si>
  <si>
    <t>Pruebas</t>
  </si>
  <si>
    <t>Inicio del testing (TDCU-01 a TDCU-03)</t>
  </si>
  <si>
    <t>15/05/2026</t>
  </si>
  <si>
    <t>21:40</t>
  </si>
  <si>
    <t>Continuación del testing (TDCU-04 a TDCU-06)</t>
  </si>
  <si>
    <t>16/05/2026</t>
  </si>
  <si>
    <t>10:00</t>
  </si>
  <si>
    <t>12:00</t>
  </si>
  <si>
    <t>Continuación del testing (TDCU-07)</t>
  </si>
  <si>
    <t>17/05/2026</t>
  </si>
  <si>
    <t>07:00</t>
  </si>
  <si>
    <t>11:08</t>
  </si>
  <si>
    <t>Cierre y formato final del documento de testing</t>
  </si>
  <si>
    <t>TOTAL</t>
  </si>
  <si>
    <t>PSP — Registro de Tiempos por Semana</t>
  </si>
  <si>
    <t>Semana</t>
  </si>
  <si>
    <t>Periodo</t>
  </si>
  <si>
    <t>Diseño/Diagramas</t>
  </si>
  <si>
    <t>Semana 1</t>
  </si>
  <si>
    <t>21/04 - 27/04</t>
  </si>
  <si>
    <t>Semana 2</t>
  </si>
  <si>
    <t>28/04 - 04/05</t>
  </si>
  <si>
    <t>Semana 3</t>
  </si>
  <si>
    <t>05/05 - 11/05</t>
  </si>
  <si>
    <t>Semana 4</t>
  </si>
  <si>
    <t>12/05 - 17/05</t>
  </si>
  <si>
    <t>PSP — Resumen Semanal</t>
  </si>
  <si>
    <t>Proyecto: Sistema de Evaluación de Expresiones Matemáticas</t>
  </si>
  <si>
    <t>Tiempo Total (min)</t>
  </si>
  <si>
    <t>Tiempo Total (hrs)</t>
  </si>
  <si>
    <t>Actividad Principal</t>
  </si>
  <si>
    <t>Observaciones</t>
  </si>
  <si>
    <t>Documentación</t>
  </si>
  <si>
    <t>Inicio diagramas RF-03 y RF-07, integración al Git</t>
  </si>
  <si>
    <t>Reunión/Documento</t>
  </si>
  <si>
    <t>Meet equipo, verificación TDCU, corrección diagramas</t>
  </si>
  <si>
    <t>Pruebas/Estimación</t>
  </si>
  <si>
    <t>COCOMO, puntos de función, testing completo</t>
  </si>
  <si>
    <t>MEDIA</t>
  </si>
  <si>
    <t>MÁXIMO</t>
  </si>
  <si>
    <t>MÍNIMO</t>
  </si>
  <si>
    <t xml:space="preserve">Profesor: Edgar  Cossío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</si>
</sst>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&quot;horas&quot;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EEF4FB"/>
      </patternFill>
    </fill>
    <fill>
      <patternFill patternType="solid">
        <fgColor rgb="FF1F5C99"/>
      </patternFill>
    </fill>
    <fill>
      <patternFill patternType="solid">
        <fgColor rgb="FFFFFFFF"/>
      </patternFill>
    </fill>
    <fill>
      <patternFill patternType="solid">
        <fgColor rgb="FFF5F9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165" fontId="4" fillId="5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2" workbookViewId="0">
      <selection activeCell="M5" sqref="M5"/>
    </sheetView>
  </sheetViews>
  <sheetFormatPr baseColWidth="10" defaultColWidth="8.88671875" defaultRowHeight="14.4" x14ac:dyDescent="0.3"/>
  <cols>
    <col min="1" max="1" width="14" customWidth="1"/>
    <col min="2" max="3" width="10" customWidth="1"/>
    <col min="4" max="5" width="20" customWidth="1"/>
    <col min="6" max="6" width="16" customWidth="1"/>
    <col min="7" max="7" width="40" customWidth="1"/>
    <col min="8" max="9" width="5" customWidth="1"/>
  </cols>
  <sheetData>
    <row r="1" spans="1:9" ht="30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A2" s="18" t="s">
        <v>1</v>
      </c>
      <c r="B2" s="19"/>
      <c r="C2" s="19"/>
      <c r="D2" s="18" t="s">
        <v>87</v>
      </c>
      <c r="E2" s="19"/>
      <c r="F2" s="19"/>
      <c r="G2" s="18" t="s">
        <v>2</v>
      </c>
      <c r="H2" s="19"/>
      <c r="I2" s="19"/>
    </row>
    <row r="3" spans="1:9" ht="30" customHeight="1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spans="1:9" ht="25.05" customHeight="1" x14ac:dyDescent="0.3">
      <c r="A4" s="3" t="s">
        <v>12</v>
      </c>
      <c r="B4" s="3" t="s">
        <v>13</v>
      </c>
      <c r="C4" s="3" t="s">
        <v>14</v>
      </c>
      <c r="D4" s="3">
        <v>0</v>
      </c>
      <c r="E4" s="3">
        <v>90</v>
      </c>
      <c r="F4" s="4" t="s">
        <v>15</v>
      </c>
      <c r="G4" s="4" t="s">
        <v>16</v>
      </c>
      <c r="H4" s="1"/>
      <c r="I4" s="1"/>
    </row>
    <row r="5" spans="1:9" ht="25.05" customHeight="1" x14ac:dyDescent="0.3">
      <c r="A5" s="5" t="s">
        <v>17</v>
      </c>
      <c r="B5" s="5" t="s">
        <v>18</v>
      </c>
      <c r="C5" s="5" t="s">
        <v>19</v>
      </c>
      <c r="D5" s="5">
        <v>15</v>
      </c>
      <c r="E5" s="5">
        <v>225</v>
      </c>
      <c r="F5" s="6" t="s">
        <v>20</v>
      </c>
      <c r="G5" s="6" t="s">
        <v>21</v>
      </c>
      <c r="H5" s="1"/>
      <c r="I5" s="1"/>
    </row>
    <row r="6" spans="1:9" ht="25.05" customHeight="1" x14ac:dyDescent="0.3">
      <c r="A6" s="3" t="s">
        <v>22</v>
      </c>
      <c r="B6" s="3" t="s">
        <v>13</v>
      </c>
      <c r="C6" s="3" t="s">
        <v>19</v>
      </c>
      <c r="D6" s="3">
        <v>0</v>
      </c>
      <c r="E6" s="3">
        <v>60</v>
      </c>
      <c r="F6" s="4" t="s">
        <v>20</v>
      </c>
      <c r="G6" s="4" t="s">
        <v>23</v>
      </c>
      <c r="H6" s="1"/>
      <c r="I6" s="1"/>
    </row>
    <row r="7" spans="1:9" ht="25.05" customHeight="1" x14ac:dyDescent="0.3">
      <c r="A7" s="5" t="s">
        <v>24</v>
      </c>
      <c r="B7" s="5" t="s">
        <v>19</v>
      </c>
      <c r="C7" s="5" t="s">
        <v>25</v>
      </c>
      <c r="D7" s="5">
        <v>0</v>
      </c>
      <c r="E7" s="5">
        <v>60</v>
      </c>
      <c r="F7" s="6" t="s">
        <v>26</v>
      </c>
      <c r="G7" s="6" t="s">
        <v>27</v>
      </c>
      <c r="H7" s="1"/>
      <c r="I7" s="1"/>
    </row>
    <row r="8" spans="1:9" ht="25.05" customHeight="1" x14ac:dyDescent="0.3">
      <c r="A8" s="3" t="s">
        <v>28</v>
      </c>
      <c r="B8" s="3" t="s">
        <v>29</v>
      </c>
      <c r="C8" s="3" t="s">
        <v>30</v>
      </c>
      <c r="D8" s="3">
        <v>0</v>
      </c>
      <c r="E8" s="3">
        <v>120</v>
      </c>
      <c r="F8" s="4" t="s">
        <v>31</v>
      </c>
      <c r="G8" s="4" t="s">
        <v>32</v>
      </c>
      <c r="H8" s="1"/>
      <c r="I8" s="1"/>
    </row>
    <row r="9" spans="1:9" ht="25.05" customHeight="1" x14ac:dyDescent="0.3">
      <c r="A9" s="5" t="s">
        <v>28</v>
      </c>
      <c r="B9" s="5" t="s">
        <v>30</v>
      </c>
      <c r="C9" s="5" t="s">
        <v>25</v>
      </c>
      <c r="D9" s="5">
        <v>10</v>
      </c>
      <c r="E9" s="5">
        <v>60</v>
      </c>
      <c r="F9" s="6" t="s">
        <v>15</v>
      </c>
      <c r="G9" s="6" t="s">
        <v>33</v>
      </c>
      <c r="H9" s="1"/>
      <c r="I9" s="1"/>
    </row>
    <row r="10" spans="1:9" ht="25.05" customHeight="1" x14ac:dyDescent="0.3">
      <c r="A10" s="3" t="s">
        <v>34</v>
      </c>
      <c r="B10" s="3" t="s">
        <v>35</v>
      </c>
      <c r="C10" s="3" t="s">
        <v>36</v>
      </c>
      <c r="D10" s="3">
        <v>0</v>
      </c>
      <c r="E10" s="3">
        <v>34</v>
      </c>
      <c r="F10" s="4" t="s">
        <v>20</v>
      </c>
      <c r="G10" s="4" t="s">
        <v>37</v>
      </c>
      <c r="H10" s="1"/>
      <c r="I10" s="1"/>
    </row>
    <row r="11" spans="1:9" ht="25.05" customHeight="1" x14ac:dyDescent="0.3">
      <c r="A11" s="5" t="s">
        <v>38</v>
      </c>
      <c r="B11" s="5" t="s">
        <v>39</v>
      </c>
      <c r="C11" s="5" t="s">
        <v>40</v>
      </c>
      <c r="D11" s="5">
        <v>10</v>
      </c>
      <c r="E11" s="5">
        <v>80</v>
      </c>
      <c r="F11" s="6" t="s">
        <v>41</v>
      </c>
      <c r="G11" s="6" t="s">
        <v>42</v>
      </c>
      <c r="H11" s="1"/>
      <c r="I11" s="1"/>
    </row>
    <row r="12" spans="1:9" ht="25.05" customHeight="1" x14ac:dyDescent="0.3">
      <c r="A12" s="3" t="s">
        <v>43</v>
      </c>
      <c r="B12" s="3" t="s">
        <v>44</v>
      </c>
      <c r="C12" s="3" t="s">
        <v>45</v>
      </c>
      <c r="D12" s="3">
        <v>10</v>
      </c>
      <c r="E12" s="3">
        <v>125</v>
      </c>
      <c r="F12" s="4" t="s">
        <v>46</v>
      </c>
      <c r="G12" s="4" t="s">
        <v>47</v>
      </c>
      <c r="H12" s="1"/>
      <c r="I12" s="1"/>
    </row>
    <row r="13" spans="1:9" ht="25.05" customHeight="1" x14ac:dyDescent="0.3">
      <c r="A13" s="5" t="s">
        <v>48</v>
      </c>
      <c r="B13" s="5" t="s">
        <v>44</v>
      </c>
      <c r="C13" s="5" t="s">
        <v>49</v>
      </c>
      <c r="D13" s="5">
        <v>25</v>
      </c>
      <c r="E13" s="5">
        <v>315</v>
      </c>
      <c r="F13" s="6" t="s">
        <v>46</v>
      </c>
      <c r="G13" s="6" t="s">
        <v>50</v>
      </c>
      <c r="H13" s="1"/>
      <c r="I13" s="1"/>
    </row>
    <row r="14" spans="1:9" ht="25.05" customHeight="1" x14ac:dyDescent="0.3">
      <c r="A14" s="3" t="s">
        <v>51</v>
      </c>
      <c r="B14" s="3" t="s">
        <v>52</v>
      </c>
      <c r="C14" s="3" t="s">
        <v>53</v>
      </c>
      <c r="D14" s="3">
        <v>10</v>
      </c>
      <c r="E14" s="3">
        <v>110</v>
      </c>
      <c r="F14" s="4" t="s">
        <v>46</v>
      </c>
      <c r="G14" s="4" t="s">
        <v>54</v>
      </c>
      <c r="H14" s="1"/>
      <c r="I14" s="1"/>
    </row>
    <row r="15" spans="1:9" ht="25.05" customHeight="1" x14ac:dyDescent="0.3">
      <c r="A15" s="5" t="s">
        <v>55</v>
      </c>
      <c r="B15" s="5" t="s">
        <v>56</v>
      </c>
      <c r="C15" s="5" t="s">
        <v>57</v>
      </c>
      <c r="D15" s="5">
        <v>15</v>
      </c>
      <c r="E15" s="5">
        <v>233</v>
      </c>
      <c r="F15" s="6" t="s">
        <v>46</v>
      </c>
      <c r="G15" s="6" t="s">
        <v>58</v>
      </c>
      <c r="H15" s="1"/>
      <c r="I15" s="1"/>
    </row>
    <row r="16" spans="1:9" ht="25.05" customHeight="1" x14ac:dyDescent="0.3">
      <c r="A16" s="23" t="s">
        <v>59</v>
      </c>
      <c r="B16" s="19"/>
      <c r="C16" s="19"/>
      <c r="D16" s="19"/>
      <c r="E16" s="7">
        <f>SUM(E4:E15)</f>
        <v>1512</v>
      </c>
      <c r="F16" s="22">
        <f>E16/60</f>
        <v>25.2</v>
      </c>
      <c r="G16" s="19"/>
      <c r="H16" s="19"/>
      <c r="I16" s="19"/>
    </row>
  </sheetData>
  <mergeCells count="6">
    <mergeCell ref="D2:F2"/>
    <mergeCell ref="G2:I2"/>
    <mergeCell ref="A1:I1"/>
    <mergeCell ref="F16:I16"/>
    <mergeCell ref="A16:D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G1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14" customWidth="1"/>
    <col min="4" max="4" width="20" customWidth="1"/>
    <col min="5" max="5" width="12" customWidth="1"/>
    <col min="6" max="6" width="14" customWidth="1"/>
    <col min="7" max="7" width="12" customWidth="1"/>
  </cols>
  <sheetData>
    <row r="1" spans="1:7" ht="30" customHeight="1" x14ac:dyDescent="0.3">
      <c r="A1" s="20" t="s">
        <v>60</v>
      </c>
      <c r="B1" s="21"/>
      <c r="C1" s="21"/>
      <c r="D1" s="21"/>
      <c r="E1" s="21"/>
      <c r="F1" s="21"/>
      <c r="G1" s="21"/>
    </row>
    <row r="2" spans="1:7" ht="30" customHeight="1" x14ac:dyDescent="0.3">
      <c r="A2" s="2" t="s">
        <v>61</v>
      </c>
      <c r="B2" s="2" t="s">
        <v>62</v>
      </c>
      <c r="C2" s="2" t="s">
        <v>15</v>
      </c>
      <c r="D2" s="2" t="s">
        <v>63</v>
      </c>
      <c r="E2" s="2" t="s">
        <v>31</v>
      </c>
      <c r="F2" s="2" t="s">
        <v>41</v>
      </c>
      <c r="G2" s="2" t="s">
        <v>46</v>
      </c>
    </row>
    <row r="3" spans="1:7" ht="22.05" customHeight="1" x14ac:dyDescent="0.3">
      <c r="A3" s="8" t="s">
        <v>64</v>
      </c>
      <c r="B3" s="9" t="s">
        <v>65</v>
      </c>
      <c r="C3" s="9">
        <v>90</v>
      </c>
      <c r="D3" s="9">
        <v>0</v>
      </c>
      <c r="E3" s="9">
        <v>0</v>
      </c>
      <c r="F3" s="9">
        <v>0</v>
      </c>
      <c r="G3" s="9">
        <v>0</v>
      </c>
    </row>
    <row r="4" spans="1:7" ht="22.05" customHeight="1" x14ac:dyDescent="0.3">
      <c r="A4" s="10" t="s">
        <v>66</v>
      </c>
      <c r="B4" s="11" t="s">
        <v>67</v>
      </c>
      <c r="C4" s="11">
        <v>0</v>
      </c>
      <c r="D4" s="11">
        <v>285</v>
      </c>
      <c r="E4" s="11">
        <v>0</v>
      </c>
      <c r="F4" s="11">
        <v>0</v>
      </c>
      <c r="G4" s="11">
        <v>0</v>
      </c>
    </row>
    <row r="5" spans="1:7" ht="22.05" customHeight="1" x14ac:dyDescent="0.3">
      <c r="A5" s="8" t="s">
        <v>68</v>
      </c>
      <c r="B5" s="9" t="s">
        <v>69</v>
      </c>
      <c r="C5" s="9">
        <v>60</v>
      </c>
      <c r="D5" s="9">
        <v>34</v>
      </c>
      <c r="E5" s="9">
        <v>120</v>
      </c>
      <c r="F5" s="9">
        <v>0</v>
      </c>
      <c r="G5" s="9">
        <v>0</v>
      </c>
    </row>
    <row r="6" spans="1:7" ht="22.05" customHeight="1" x14ac:dyDescent="0.3">
      <c r="A6" s="10" t="s">
        <v>70</v>
      </c>
      <c r="B6" s="11" t="s">
        <v>71</v>
      </c>
      <c r="C6" s="11">
        <v>0</v>
      </c>
      <c r="D6" s="11">
        <v>0</v>
      </c>
      <c r="E6" s="11">
        <v>0</v>
      </c>
      <c r="F6" s="11">
        <v>80</v>
      </c>
      <c r="G6" s="11">
        <v>783</v>
      </c>
    </row>
    <row r="7" spans="1:7" ht="25.05" customHeight="1" x14ac:dyDescent="0.3">
      <c r="A7" s="7" t="s">
        <v>59</v>
      </c>
      <c r="B7" s="12"/>
      <c r="C7" s="7">
        <f>SUM(C3:C6)</f>
        <v>150</v>
      </c>
      <c r="D7" s="7">
        <f>SUM(D3:D6)</f>
        <v>319</v>
      </c>
      <c r="E7" s="7">
        <f>SUM(E3:E6)</f>
        <v>120</v>
      </c>
      <c r="F7" s="7">
        <f>SUM(F3:F6)</f>
        <v>80</v>
      </c>
      <c r="G7" s="7">
        <f>SUM(G3:G6)</f>
        <v>783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8" sqref="C8"/>
    </sheetView>
  </sheetViews>
  <sheetFormatPr baseColWidth="10" defaultColWidth="8.88671875" defaultRowHeight="14.4" x14ac:dyDescent="0.3"/>
  <cols>
    <col min="1" max="1" width="12" customWidth="1"/>
    <col min="2" max="2" width="18" customWidth="1"/>
    <col min="3" max="3" width="20" customWidth="1"/>
    <col min="4" max="4" width="18" customWidth="1"/>
    <col min="5" max="5" width="22" customWidth="1"/>
    <col min="6" max="6" width="40" customWidth="1"/>
  </cols>
  <sheetData>
    <row r="1" spans="1:6" ht="30" customHeight="1" x14ac:dyDescent="0.3">
      <c r="A1" s="20" t="s">
        <v>72</v>
      </c>
      <c r="B1" s="21"/>
      <c r="C1" s="21"/>
      <c r="D1" s="21"/>
      <c r="E1" s="21"/>
      <c r="F1" s="21"/>
    </row>
    <row r="2" spans="1:6" x14ac:dyDescent="0.3">
      <c r="A2" s="18" t="s">
        <v>1</v>
      </c>
      <c r="B2" s="19"/>
      <c r="C2" s="19"/>
      <c r="D2" s="18" t="s">
        <v>73</v>
      </c>
      <c r="E2" s="19"/>
      <c r="F2" s="19"/>
    </row>
    <row r="3" spans="1:6" ht="30" customHeight="1" x14ac:dyDescent="0.3">
      <c r="A3" s="2" t="s">
        <v>61</v>
      </c>
      <c r="B3" s="2" t="s">
        <v>62</v>
      </c>
      <c r="C3" s="2" t="s">
        <v>74</v>
      </c>
      <c r="D3" s="2" t="s">
        <v>75</v>
      </c>
      <c r="E3" s="2" t="s">
        <v>76</v>
      </c>
      <c r="F3" s="2" t="s">
        <v>77</v>
      </c>
    </row>
    <row r="4" spans="1:6" ht="25.05" customHeight="1" x14ac:dyDescent="0.3">
      <c r="A4" s="3" t="s">
        <v>64</v>
      </c>
      <c r="B4" s="3" t="s">
        <v>65</v>
      </c>
      <c r="C4" s="3">
        <v>90</v>
      </c>
      <c r="D4" s="13">
        <f>C4/60</f>
        <v>1.5</v>
      </c>
      <c r="E4" s="4" t="s">
        <v>78</v>
      </c>
      <c r="F4" s="4" t="s">
        <v>16</v>
      </c>
    </row>
    <row r="5" spans="1:6" ht="25.05" customHeight="1" x14ac:dyDescent="0.3">
      <c r="A5" s="5" t="s">
        <v>66</v>
      </c>
      <c r="B5" s="5" t="s">
        <v>67</v>
      </c>
      <c r="C5" s="5">
        <v>345</v>
      </c>
      <c r="D5" s="14">
        <f>C5/60</f>
        <v>5.75</v>
      </c>
      <c r="E5" s="6" t="s">
        <v>63</v>
      </c>
      <c r="F5" s="6" t="s">
        <v>79</v>
      </c>
    </row>
    <row r="6" spans="1:6" ht="25.05" customHeight="1" x14ac:dyDescent="0.3">
      <c r="A6" s="3" t="s">
        <v>68</v>
      </c>
      <c r="B6" s="3" t="s">
        <v>69</v>
      </c>
      <c r="C6" s="3">
        <v>214</v>
      </c>
      <c r="D6" s="13">
        <f>C6/60</f>
        <v>3.5666666666666669</v>
      </c>
      <c r="E6" s="4" t="s">
        <v>80</v>
      </c>
      <c r="F6" s="4" t="s">
        <v>81</v>
      </c>
    </row>
    <row r="7" spans="1:6" ht="25.05" customHeight="1" x14ac:dyDescent="0.3">
      <c r="A7" s="5" t="s">
        <v>70</v>
      </c>
      <c r="B7" s="5" t="s">
        <v>71</v>
      </c>
      <c r="C7" s="5">
        <v>863</v>
      </c>
      <c r="D7" s="14">
        <f>C7/60</f>
        <v>14.383333333333333</v>
      </c>
      <c r="E7" s="6" t="s">
        <v>82</v>
      </c>
      <c r="F7" s="6" t="s">
        <v>83</v>
      </c>
    </row>
    <row r="8" spans="1:6" ht="22.05" customHeight="1" x14ac:dyDescent="0.3">
      <c r="A8" s="15" t="s">
        <v>59</v>
      </c>
      <c r="B8" s="24"/>
      <c r="C8" s="16">
        <f>SUM(C4:C7)</f>
        <v>1512</v>
      </c>
      <c r="D8" s="17">
        <f>SUM(D4:D7)</f>
        <v>25.2</v>
      </c>
      <c r="E8" s="1"/>
      <c r="F8" s="1"/>
    </row>
    <row r="9" spans="1:6" ht="22.05" customHeight="1" x14ac:dyDescent="0.3">
      <c r="A9" s="15" t="s">
        <v>84</v>
      </c>
      <c r="B9" s="24"/>
      <c r="C9" s="16">
        <f>AVERAGE(C4:C7)</f>
        <v>378</v>
      </c>
      <c r="D9" s="17">
        <f>AVERAGE(D4:D7)</f>
        <v>6.3</v>
      </c>
      <c r="E9" s="1"/>
      <c r="F9" s="1"/>
    </row>
    <row r="10" spans="1:6" ht="22.05" customHeight="1" x14ac:dyDescent="0.3">
      <c r="A10" s="15" t="s">
        <v>85</v>
      </c>
      <c r="B10" s="24"/>
      <c r="C10" s="16">
        <f>MAX(C4:C7)</f>
        <v>863</v>
      </c>
      <c r="D10" s="17">
        <f>MAX(D4:D7)</f>
        <v>14.383333333333333</v>
      </c>
      <c r="E10" s="1"/>
      <c r="F10" s="1"/>
    </row>
    <row r="11" spans="1:6" ht="22.05" customHeight="1" x14ac:dyDescent="0.3">
      <c r="A11" s="15" t="s">
        <v>86</v>
      </c>
      <c r="B11" s="24"/>
      <c r="C11" s="16">
        <f>MIN(C4:C7)</f>
        <v>90</v>
      </c>
      <c r="D11" s="17">
        <f>MIN(D4:D7)</f>
        <v>1.5</v>
      </c>
      <c r="E11" s="1"/>
      <c r="F11" s="1"/>
    </row>
  </sheetData>
  <mergeCells count="7">
    <mergeCell ref="D2:F2"/>
    <mergeCell ref="B8"/>
    <mergeCell ref="B9"/>
    <mergeCell ref="A1:F1"/>
    <mergeCell ref="B11"/>
    <mergeCell ref="B1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Cuaderno de Ingeniería</vt:lpstr>
      <vt:lpstr>Registro de Tiempos</vt:lpstr>
      <vt:lpstr>Resumen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Muro</cp:lastModifiedBy>
  <dcterms:created xsi:type="dcterms:W3CDTF">2026-05-17T22:02:07Z</dcterms:created>
  <dcterms:modified xsi:type="dcterms:W3CDTF">2026-05-17T23:14:07Z</dcterms:modified>
</cp:coreProperties>
</file>